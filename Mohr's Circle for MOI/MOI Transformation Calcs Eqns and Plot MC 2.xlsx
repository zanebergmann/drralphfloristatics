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reflori_umsystem_edu/Documents/R Flori Statics Project/Mohr's Circle for MOI/"/>
    </mc:Choice>
  </mc:AlternateContent>
  <xr:revisionPtr revIDLastSave="17" documentId="8_{8B546D9B-617A-4329-ABAF-2B22A77A1C4E}" xr6:coauthVersionLast="47" xr6:coauthVersionMax="47" xr10:uidLastSave="{17867CCE-0A0E-4B21-BEF5-254184DF18A7}"/>
  <bookViews>
    <workbookView xWindow="-108" yWindow="-108" windowWidth="23256" windowHeight="12456" xr2:uid="{7D03493D-8F92-4C15-BAE7-6B94FB6A40F4}"/>
  </bookViews>
  <sheets>
    <sheet name="Units of mm" sheetId="14" r:id="rId1"/>
    <sheet name="Units of inch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3" l="1"/>
  <c r="E36" i="14"/>
  <c r="F41" i="14" s="1"/>
  <c r="E34" i="14"/>
  <c r="F33" i="14"/>
  <c r="E33" i="14"/>
  <c r="F32" i="14"/>
  <c r="E32" i="14"/>
  <c r="H23" i="14"/>
  <c r="H24" i="14" s="1"/>
  <c r="H22" i="14"/>
  <c r="H18" i="14"/>
  <c r="D17" i="14"/>
  <c r="H17" i="14" s="1"/>
  <c r="H16" i="14"/>
  <c r="H12" i="14"/>
  <c r="D11" i="14"/>
  <c r="H11" i="14" s="1"/>
  <c r="H10" i="14"/>
  <c r="E34" i="13"/>
  <c r="F33" i="13"/>
  <c r="E33" i="13"/>
  <c r="F40" i="13" s="1"/>
  <c r="F32" i="13"/>
  <c r="E32" i="13"/>
  <c r="H23" i="13"/>
  <c r="H27" i="13" s="1"/>
  <c r="H28" i="13" s="1"/>
  <c r="H22" i="13"/>
  <c r="H18" i="13"/>
  <c r="D17" i="13"/>
  <c r="H17" i="13" s="1"/>
  <c r="H16" i="13"/>
  <c r="H12" i="13"/>
  <c r="D11" i="13"/>
  <c r="H11" i="13" s="1"/>
  <c r="H10" i="13"/>
  <c r="F41" i="13"/>
  <c r="F39" i="13" l="1"/>
  <c r="E45" i="13" s="1"/>
  <c r="F39" i="14"/>
  <c r="G48" i="14" s="1"/>
  <c r="H27" i="14"/>
  <c r="H28" i="14" s="1"/>
  <c r="F40" i="14"/>
  <c r="G49" i="14" s="1"/>
  <c r="M124" i="14" s="1"/>
  <c r="H25" i="14"/>
  <c r="H26" i="14"/>
  <c r="H24" i="13"/>
  <c r="H25" i="13" s="1"/>
  <c r="E44" i="13" l="1"/>
  <c r="M76" i="14"/>
  <c r="E46" i="14"/>
  <c r="F45" i="14" s="1"/>
  <c r="M89" i="14"/>
  <c r="M113" i="14"/>
  <c r="M106" i="14"/>
  <c r="M121" i="14"/>
  <c r="M118" i="14"/>
  <c r="M93" i="14"/>
  <c r="M114" i="14"/>
  <c r="M67" i="14"/>
  <c r="M125" i="14"/>
  <c r="M57" i="14"/>
  <c r="M82" i="14"/>
  <c r="M119" i="14"/>
  <c r="M79" i="14"/>
  <c r="M74" i="14"/>
  <c r="M83" i="14"/>
  <c r="M61" i="14"/>
  <c r="M81" i="14"/>
  <c r="M86" i="14"/>
  <c r="M56" i="14"/>
  <c r="M73" i="14"/>
  <c r="M105" i="14"/>
  <c r="M66" i="14"/>
  <c r="M98" i="14"/>
  <c r="M59" i="14"/>
  <c r="M107" i="14"/>
  <c r="M120" i="14"/>
  <c r="M77" i="14"/>
  <c r="M109" i="14"/>
  <c r="M70" i="14"/>
  <c r="M102" i="14"/>
  <c r="M63" i="14"/>
  <c r="M111" i="14"/>
  <c r="M85" i="14"/>
  <c r="M117" i="14"/>
  <c r="M78" i="14"/>
  <c r="M110" i="14"/>
  <c r="M71" i="14"/>
  <c r="M127" i="14"/>
  <c r="M65" i="14"/>
  <c r="M97" i="14"/>
  <c r="M58" i="14"/>
  <c r="M90" i="14"/>
  <c r="M122" i="14"/>
  <c r="M87" i="14"/>
  <c r="M88" i="14"/>
  <c r="M69" i="14"/>
  <c r="M101" i="14"/>
  <c r="M62" i="14"/>
  <c r="M94" i="14"/>
  <c r="M126" i="14"/>
  <c r="M99" i="14"/>
  <c r="M104" i="14"/>
  <c r="M68" i="14"/>
  <c r="M72" i="14"/>
  <c r="M100" i="14"/>
  <c r="M75" i="14"/>
  <c r="M115" i="14"/>
  <c r="M84" i="14"/>
  <c r="E44" i="14"/>
  <c r="M95" i="14"/>
  <c r="M64" i="14"/>
  <c r="M108" i="14"/>
  <c r="M96" i="14"/>
  <c r="M128" i="14"/>
  <c r="M91" i="14"/>
  <c r="M123" i="14"/>
  <c r="M80" i="14"/>
  <c r="M112" i="14"/>
  <c r="E45" i="14"/>
  <c r="M116" i="14"/>
  <c r="M103" i="14"/>
  <c r="M60" i="14"/>
  <c r="M92" i="14"/>
  <c r="F53" i="14"/>
  <c r="L118" i="14"/>
  <c r="L82" i="14"/>
  <c r="L62" i="14"/>
  <c r="L128" i="14"/>
  <c r="L124" i="14"/>
  <c r="L120" i="14"/>
  <c r="L116" i="14"/>
  <c r="L112" i="14"/>
  <c r="L108" i="14"/>
  <c r="L104" i="14"/>
  <c r="L100" i="14"/>
  <c r="L96" i="14"/>
  <c r="L92" i="14"/>
  <c r="L88" i="14"/>
  <c r="L84" i="14"/>
  <c r="L80" i="14"/>
  <c r="L76" i="14"/>
  <c r="L72" i="14"/>
  <c r="L68" i="14"/>
  <c r="L64" i="14"/>
  <c r="L60" i="14"/>
  <c r="L122" i="14"/>
  <c r="L110" i="14"/>
  <c r="L98" i="14"/>
  <c r="L90" i="14"/>
  <c r="L78" i="14"/>
  <c r="L66" i="14"/>
  <c r="L127" i="14"/>
  <c r="L123" i="14"/>
  <c r="L119" i="14"/>
  <c r="L115" i="14"/>
  <c r="L111" i="14"/>
  <c r="L107" i="14"/>
  <c r="L103" i="14"/>
  <c r="L99" i="14"/>
  <c r="L95" i="14"/>
  <c r="L91" i="14"/>
  <c r="L87" i="14"/>
  <c r="L83" i="14"/>
  <c r="L79" i="14"/>
  <c r="L75" i="14"/>
  <c r="L71" i="14"/>
  <c r="L67" i="14"/>
  <c r="L63" i="14"/>
  <c r="L59" i="14"/>
  <c r="F52" i="14"/>
  <c r="F51" i="14"/>
  <c r="L56" i="14" s="1"/>
  <c r="L126" i="14"/>
  <c r="L114" i="14"/>
  <c r="L106" i="14"/>
  <c r="L102" i="14"/>
  <c r="L94" i="14"/>
  <c r="L86" i="14"/>
  <c r="L74" i="14"/>
  <c r="L70" i="14"/>
  <c r="L58" i="14"/>
  <c r="L125" i="14"/>
  <c r="L121" i="14"/>
  <c r="L117" i="14"/>
  <c r="L113" i="14"/>
  <c r="L109" i="14"/>
  <c r="L105" i="14"/>
  <c r="L101" i="14"/>
  <c r="L97" i="14"/>
  <c r="L93" i="14"/>
  <c r="L89" i="14"/>
  <c r="L85" i="14"/>
  <c r="L81" i="14"/>
  <c r="L77" i="14"/>
  <c r="L73" i="14"/>
  <c r="L69" i="14"/>
  <c r="L65" i="14"/>
  <c r="L61" i="14"/>
  <c r="L57" i="14"/>
  <c r="H26" i="13"/>
  <c r="G48" i="13"/>
  <c r="F44" i="14" l="1"/>
  <c r="G49" i="13"/>
  <c r="M120" i="13" s="1"/>
  <c r="F53" i="13"/>
  <c r="E46" i="13"/>
  <c r="F45" i="13" s="1"/>
  <c r="L99" i="13" l="1"/>
  <c r="M121" i="13"/>
  <c r="M74" i="13"/>
  <c r="L121" i="13"/>
  <c r="L72" i="13"/>
  <c r="L104" i="13"/>
  <c r="L66" i="13"/>
  <c r="M111" i="13"/>
  <c r="M122" i="13"/>
  <c r="M118" i="13"/>
  <c r="M83" i="13"/>
  <c r="M123" i="13"/>
  <c r="M106" i="13"/>
  <c r="M104" i="13"/>
  <c r="L62" i="13"/>
  <c r="L100" i="13"/>
  <c r="M90" i="13"/>
  <c r="L70" i="13"/>
  <c r="L76" i="13"/>
  <c r="M81" i="13"/>
  <c r="M119" i="13"/>
  <c r="M92" i="13"/>
  <c r="M89" i="13"/>
  <c r="M86" i="13"/>
  <c r="L117" i="13"/>
  <c r="L68" i="13"/>
  <c r="M87" i="13"/>
  <c r="L71" i="13"/>
  <c r="L107" i="13"/>
  <c r="M112" i="13"/>
  <c r="L65" i="13"/>
  <c r="L78" i="13"/>
  <c r="M80" i="13"/>
  <c r="M126" i="13"/>
  <c r="M59" i="13"/>
  <c r="M65" i="13"/>
  <c r="M109" i="13"/>
  <c r="L103" i="13"/>
  <c r="L90" i="13"/>
  <c r="L108" i="13"/>
  <c r="M60" i="13"/>
  <c r="L106" i="13"/>
  <c r="L111" i="13"/>
  <c r="L80" i="13"/>
  <c r="L102" i="13"/>
  <c r="M75" i="13"/>
  <c r="M72" i="13"/>
  <c r="L69" i="13"/>
  <c r="L77" i="13"/>
  <c r="L114" i="13"/>
  <c r="L83" i="13"/>
  <c r="L115" i="13"/>
  <c r="L122" i="13"/>
  <c r="L98" i="13"/>
  <c r="L84" i="13"/>
  <c r="L116" i="13"/>
  <c r="L118" i="13"/>
  <c r="M97" i="13"/>
  <c r="M125" i="13"/>
  <c r="M107" i="13"/>
  <c r="M115" i="13"/>
  <c r="M70" i="13"/>
  <c r="M71" i="13"/>
  <c r="M91" i="13"/>
  <c r="M79" i="13"/>
  <c r="L125" i="13"/>
  <c r="L105" i="13"/>
  <c r="L73" i="13"/>
  <c r="M67" i="13"/>
  <c r="L82" i="13"/>
  <c r="L75" i="13"/>
  <c r="L58" i="13"/>
  <c r="M114" i="13"/>
  <c r="L57" i="13"/>
  <c r="L79" i="13"/>
  <c r="L110" i="13"/>
  <c r="L112" i="13"/>
  <c r="M99" i="13"/>
  <c r="M113" i="13"/>
  <c r="L89" i="13"/>
  <c r="L85" i="13"/>
  <c r="F52" i="13"/>
  <c r="L87" i="13"/>
  <c r="L119" i="13"/>
  <c r="L61" i="13"/>
  <c r="L126" i="13"/>
  <c r="L88" i="13"/>
  <c r="L120" i="13"/>
  <c r="M88" i="13"/>
  <c r="M108" i="13"/>
  <c r="M103" i="13"/>
  <c r="M64" i="13"/>
  <c r="M66" i="13"/>
  <c r="M102" i="13"/>
  <c r="M94" i="13"/>
  <c r="M127" i="13"/>
  <c r="M85" i="13"/>
  <c r="L67" i="13"/>
  <c r="M56" i="13"/>
  <c r="L74" i="13"/>
  <c r="F51" i="13"/>
  <c r="L56" i="13" s="1"/>
  <c r="L94" i="13"/>
  <c r="L86" i="13"/>
  <c r="L101" i="13"/>
  <c r="L97" i="13"/>
  <c r="L59" i="13"/>
  <c r="L91" i="13"/>
  <c r="L123" i="13"/>
  <c r="L81" i="13"/>
  <c r="L60" i="13"/>
  <c r="L92" i="13"/>
  <c r="L124" i="13"/>
  <c r="M116" i="13"/>
  <c r="M76" i="13"/>
  <c r="M124" i="13"/>
  <c r="M128" i="13"/>
  <c r="M98" i="13"/>
  <c r="M77" i="13"/>
  <c r="M68" i="13"/>
  <c r="M96" i="13"/>
  <c r="L113" i="13"/>
  <c r="L109" i="13"/>
  <c r="L63" i="13"/>
  <c r="L95" i="13"/>
  <c r="L127" i="13"/>
  <c r="L93" i="13"/>
  <c r="L64" i="13"/>
  <c r="L96" i="13"/>
  <c r="L128" i="13"/>
  <c r="M84" i="13"/>
  <c r="M73" i="13"/>
  <c r="M58" i="13"/>
  <c r="M82" i="13"/>
  <c r="M61" i="13"/>
  <c r="M117" i="13"/>
  <c r="M69" i="13"/>
  <c r="M101" i="13"/>
  <c r="M78" i="13"/>
  <c r="M110" i="13"/>
  <c r="M105" i="13"/>
  <c r="M63" i="13"/>
  <c r="M62" i="13"/>
  <c r="M95" i="13"/>
  <c r="M93" i="13"/>
  <c r="M57" i="13"/>
  <c r="M100" i="13"/>
  <c r="F44" i="13"/>
</calcChain>
</file>

<file path=xl/sharedStrings.xml><?xml version="1.0" encoding="utf-8"?>
<sst xmlns="http://schemas.openxmlformats.org/spreadsheetml/2006/main" count="158" uniqueCount="52">
  <si>
    <t>Radius =</t>
  </si>
  <si>
    <t>Intermediate Calcs:</t>
  </si>
  <si>
    <t>(Ix + Iy)/2 =</t>
  </si>
  <si>
    <t>(Ix - Iy)/2 =</t>
  </si>
  <si>
    <t>For Mohr's Circle:</t>
  </si>
  <si>
    <t>Center =</t>
  </si>
  <si>
    <r>
      <rPr>
        <b/>
        <sz val="10"/>
        <color theme="1"/>
        <rFont val="Symbol"/>
        <family val="1"/>
        <charset val="2"/>
      </rPr>
      <t>q</t>
    </r>
    <r>
      <rPr>
        <b/>
        <vertAlign val="subscript"/>
        <sz val="10"/>
        <color theme="1"/>
        <rFont val="Arial"/>
        <family val="2"/>
      </rPr>
      <t>p</t>
    </r>
    <r>
      <rPr>
        <b/>
        <sz val="10"/>
        <color theme="1"/>
        <rFont val="Arial"/>
        <family val="2"/>
      </rPr>
      <t xml:space="preserve"> =</t>
    </r>
  </si>
  <si>
    <r>
      <t>I</t>
    </r>
    <r>
      <rPr>
        <b/>
        <vertAlign val="subscript"/>
        <sz val="9"/>
        <color theme="1"/>
        <rFont val="Verdana"/>
        <family val="2"/>
      </rPr>
      <t>u</t>
    </r>
    <r>
      <rPr>
        <b/>
        <sz val="9"/>
        <color theme="1"/>
        <rFont val="Verdana"/>
        <family val="2"/>
      </rPr>
      <t xml:space="preserve"> =</t>
    </r>
  </si>
  <si>
    <t>Inputs:</t>
  </si>
  <si>
    <r>
      <t>I</t>
    </r>
    <r>
      <rPr>
        <b/>
        <vertAlign val="subscript"/>
        <sz val="9"/>
        <color theme="1"/>
        <rFont val="Verdana"/>
        <family val="2"/>
      </rPr>
      <t>x</t>
    </r>
    <r>
      <rPr>
        <b/>
        <sz val="9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</si>
  <si>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9"/>
        <color theme="1"/>
        <rFont val="Verdana"/>
        <family val="2"/>
      </rPr>
      <t>y</t>
    </r>
    <r>
      <rPr>
        <b/>
        <sz val="9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</si>
  <si>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9"/>
        <color theme="1"/>
        <rFont val="Verdana"/>
        <family val="2"/>
      </rPr>
      <t>xy</t>
    </r>
    <r>
      <rPr>
        <b/>
        <sz val="9"/>
        <color theme="1"/>
        <rFont val="Verdana"/>
        <family val="2"/>
      </rPr>
      <t xml:space="preserve"> =</t>
    </r>
  </si>
  <si>
    <r>
      <rPr>
        <b/>
        <sz val="10"/>
        <color theme="1"/>
        <rFont val="Symbol"/>
        <family val="1"/>
        <charset val="2"/>
      </rPr>
      <t>q</t>
    </r>
    <r>
      <rPr>
        <b/>
        <vertAlign val="subscript"/>
        <sz val="10"/>
        <color theme="1"/>
        <rFont val="Arial"/>
        <family val="2"/>
      </rPr>
      <t>u</t>
    </r>
    <r>
      <rPr>
        <b/>
        <sz val="10"/>
        <color theme="1"/>
        <rFont val="Arial"/>
        <family val="2"/>
      </rPr>
      <t xml:space="preserve"> =</t>
    </r>
  </si>
  <si>
    <r>
      <rPr>
        <b/>
        <sz val="10"/>
        <color theme="1"/>
        <rFont val="Symbol"/>
        <family val="1"/>
        <charset val="2"/>
      </rPr>
      <t>q</t>
    </r>
    <r>
      <rPr>
        <b/>
        <vertAlign val="subscript"/>
        <sz val="10"/>
        <color theme="1"/>
        <rFont val="Arial"/>
        <family val="2"/>
      </rPr>
      <t>v</t>
    </r>
    <r>
      <rPr>
        <b/>
        <sz val="10"/>
        <color theme="1"/>
        <rFont val="Arial"/>
        <family val="2"/>
      </rPr>
      <t xml:space="preserve"> =</t>
    </r>
  </si>
  <si>
    <r>
      <t>I</t>
    </r>
    <r>
      <rPr>
        <b/>
        <vertAlign val="subscript"/>
        <sz val="9"/>
        <color theme="1"/>
        <rFont val="Verdana"/>
        <family val="2"/>
      </rPr>
      <t>v</t>
    </r>
    <r>
      <rPr>
        <b/>
        <sz val="9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</si>
  <si>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9"/>
        <color theme="1"/>
        <rFont val="Verdana"/>
        <family val="2"/>
      </rPr>
      <t>uv</t>
    </r>
    <r>
      <rPr>
        <b/>
        <sz val="9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</si>
  <si>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9"/>
        <color theme="1"/>
        <rFont val="Verdana"/>
        <family val="2"/>
      </rPr>
      <t>MAX</t>
    </r>
    <r>
      <rPr>
        <b/>
        <sz val="9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</si>
  <si>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9"/>
        <color theme="1"/>
        <rFont val="Verdana"/>
        <family val="2"/>
      </rPr>
      <t>MIN</t>
    </r>
    <r>
      <rPr>
        <b/>
        <sz val="9"/>
        <color theme="1"/>
        <rFont val="Verdana"/>
        <family val="2"/>
      </rPr>
      <t xml:space="preserve"> =</t>
    </r>
  </si>
  <si>
    <t>Generating Values for Mohr's Circle</t>
  </si>
  <si>
    <t>(Deg)</t>
  </si>
  <si>
    <t>No</t>
  </si>
  <si>
    <t>Theta</t>
  </si>
  <si>
    <t>x</t>
  </si>
  <si>
    <t>y</t>
  </si>
  <si>
    <r>
      <t>mm</t>
    </r>
    <r>
      <rPr>
        <b/>
        <vertAlign val="superscript"/>
        <sz val="11"/>
        <color theme="1"/>
        <rFont val="Arial"/>
        <family val="2"/>
      </rPr>
      <t>4</t>
    </r>
  </si>
  <si>
    <r>
      <t>in</t>
    </r>
    <r>
      <rPr>
        <b/>
        <vertAlign val="superscript"/>
        <sz val="11"/>
        <color theme="1"/>
        <rFont val="Arial"/>
        <family val="2"/>
      </rPr>
      <t>4</t>
    </r>
  </si>
  <si>
    <r>
      <t>I</t>
    </r>
    <r>
      <rPr>
        <b/>
        <vertAlign val="subscript"/>
        <sz val="11"/>
        <color theme="1"/>
        <rFont val="Verdana"/>
        <family val="2"/>
      </rPr>
      <t>x</t>
    </r>
    <r>
      <rPr>
        <b/>
        <sz val="11"/>
        <color theme="1"/>
        <rFont val="Verdana"/>
        <family val="2"/>
      </rPr>
      <t xml:space="preserve"> =</t>
    </r>
  </si>
  <si>
    <r>
      <t>in</t>
    </r>
    <r>
      <rPr>
        <b/>
        <vertAlign val="superscript"/>
        <sz val="10"/>
        <color theme="1"/>
        <rFont val="Verdana"/>
        <family val="2"/>
      </rPr>
      <t>4</t>
    </r>
  </si>
  <si>
    <r>
      <t>I</t>
    </r>
    <r>
      <rPr>
        <b/>
        <vertAlign val="subscript"/>
        <sz val="11"/>
        <color theme="1"/>
        <rFont val="Verdana"/>
        <family val="2"/>
      </rPr>
      <t>y</t>
    </r>
    <r>
      <rPr>
        <b/>
        <sz val="11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</si>
  <si>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11"/>
        <color theme="1"/>
        <rFont val="Verdana"/>
        <family val="2"/>
      </rPr>
      <t>xy</t>
    </r>
    <r>
      <rPr>
        <b/>
        <sz val="11"/>
        <color theme="1"/>
        <rFont val="Verdana"/>
        <family val="2"/>
      </rPr>
      <t xml:space="preserve"> =</t>
    </r>
  </si>
  <si>
    <r>
      <t xml:space="preserve">Calculating I at a given angle,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>.</t>
    </r>
  </si>
  <si>
    <r>
      <t xml:space="preserve">Angle,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 xml:space="preserve">:  </t>
    </r>
  </si>
  <si>
    <r>
      <rPr>
        <b/>
        <sz val="10"/>
        <color theme="1"/>
        <rFont val="Verdana"/>
        <family val="2"/>
      </rPr>
      <t>At this angle,</t>
    </r>
    <r>
      <rPr>
        <b/>
        <sz val="11"/>
        <color theme="1"/>
        <rFont val="Verdana"/>
        <family val="2"/>
      </rPr>
      <t xml:space="preserve"> I</t>
    </r>
    <r>
      <rPr>
        <b/>
        <vertAlign val="subscript"/>
        <sz val="11"/>
        <color theme="1"/>
        <rFont val="Symbol"/>
        <family val="1"/>
        <charset val="2"/>
      </rPr>
      <t>q</t>
    </r>
    <r>
      <rPr>
        <b/>
        <sz val="11"/>
        <color theme="1"/>
        <rFont val="Verdana"/>
        <family val="2"/>
      </rPr>
      <t xml:space="preserve"> =</t>
    </r>
  </si>
  <si>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>+ 90</t>
    </r>
  </si>
  <si>
    <r>
      <rPr>
        <b/>
        <sz val="10"/>
        <color theme="1"/>
        <rFont val="Verdana"/>
        <family val="2"/>
      </rPr>
      <t xml:space="preserve">At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 xml:space="preserve"> + 90,</t>
    </r>
    <r>
      <rPr>
        <b/>
        <sz val="11"/>
        <color theme="1"/>
        <rFont val="Verdana"/>
        <family val="2"/>
      </rPr>
      <t xml:space="preserve"> I</t>
    </r>
    <r>
      <rPr>
        <b/>
        <vertAlign val="subscript"/>
        <sz val="11"/>
        <color theme="1"/>
        <rFont val="Symbol"/>
        <family val="1"/>
        <charset val="2"/>
      </rPr>
      <t>q+90</t>
    </r>
    <r>
      <rPr>
        <b/>
        <sz val="11"/>
        <color theme="1"/>
        <rFont val="Verdana"/>
        <family val="2"/>
      </rPr>
      <t xml:space="preserve"> =</t>
    </r>
  </si>
  <si>
    <r>
      <t xml:space="preserve">At angle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>, I</t>
    </r>
    <r>
      <rPr>
        <b/>
        <vertAlign val="subscript"/>
        <sz val="10"/>
        <color theme="1"/>
        <rFont val="Verdana"/>
        <family val="2"/>
      </rPr>
      <t>uv</t>
    </r>
    <r>
      <rPr>
        <b/>
        <sz val="10"/>
        <color theme="1"/>
        <rFont val="Verdana"/>
        <family val="2"/>
      </rPr>
      <t xml:space="preserve"> =</t>
    </r>
  </si>
  <si>
    <t>Using Solver (under Data) to find the angle at which IMAX occurs.</t>
  </si>
  <si>
    <r>
      <t>At this angle, I</t>
    </r>
    <r>
      <rPr>
        <b/>
        <vertAlign val="subscript"/>
        <sz val="11"/>
        <color theme="1"/>
        <rFont val="Symbol"/>
        <family val="1"/>
        <charset val="2"/>
      </rPr>
      <t>q</t>
    </r>
    <r>
      <rPr>
        <b/>
        <sz val="11"/>
        <color theme="1"/>
        <rFont val="Verdana"/>
        <family val="2"/>
      </rPr>
      <t xml:space="preserve"> =</t>
    </r>
  </si>
  <si>
    <t>Additional Calcs (for Mohr's Circle)</t>
  </si>
  <si>
    <r>
      <t>I</t>
    </r>
    <r>
      <rPr>
        <b/>
        <vertAlign val="subscript"/>
        <sz val="10"/>
        <color theme="1"/>
        <rFont val="Verdana"/>
        <family val="2"/>
      </rPr>
      <t>AVG</t>
    </r>
    <r>
      <rPr>
        <b/>
        <sz val="10"/>
        <color theme="1"/>
        <rFont val="Verdana"/>
        <family val="2"/>
      </rPr>
      <t xml:space="preserve"> = Center =</t>
    </r>
  </si>
  <si>
    <r>
      <t>I</t>
    </r>
    <r>
      <rPr>
        <b/>
        <vertAlign val="subscript"/>
        <sz val="10"/>
        <color theme="1"/>
        <rFont val="Verdana"/>
        <family val="2"/>
      </rPr>
      <t>MAX</t>
    </r>
    <r>
      <rPr>
        <b/>
        <sz val="10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</si>
  <si>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10"/>
        <color theme="1"/>
        <rFont val="Verdana"/>
        <family val="2"/>
      </rPr>
      <t>MIN</t>
    </r>
    <r>
      <rPr>
        <b/>
        <sz val="10"/>
        <color theme="1"/>
        <rFont val="Verdana"/>
        <family val="2"/>
      </rPr>
      <t xml:space="preserve"> =</t>
    </r>
  </si>
  <si>
    <r>
      <rPr>
        <b/>
        <sz val="10"/>
        <color theme="1"/>
        <rFont val="Symbol"/>
        <family val="1"/>
        <charset val="2"/>
      </rPr>
      <t>q</t>
    </r>
    <r>
      <rPr>
        <b/>
        <vertAlign val="subscript"/>
        <sz val="10"/>
        <color theme="1"/>
        <rFont val="Verdana"/>
        <family val="2"/>
      </rPr>
      <t>p</t>
    </r>
    <r>
      <rPr>
        <b/>
        <sz val="10"/>
        <color theme="1"/>
        <rFont val="Verdana"/>
        <family val="2"/>
      </rPr>
      <t xml:space="preserve"> =</t>
    </r>
  </si>
  <si>
    <t>deg</t>
  </si>
  <si>
    <r>
      <t xml:space="preserve">At </t>
    </r>
    <r>
      <rPr>
        <b/>
        <sz val="11"/>
        <color theme="1"/>
        <rFont val="Symbol"/>
        <family val="1"/>
        <charset val="2"/>
      </rPr>
      <t>q</t>
    </r>
    <r>
      <rPr>
        <b/>
        <vertAlign val="subscript"/>
        <sz val="11"/>
        <color theme="1"/>
        <rFont val="Verdana"/>
        <family val="2"/>
      </rPr>
      <t>p</t>
    </r>
    <r>
      <rPr>
        <b/>
        <sz val="11"/>
        <color theme="1"/>
        <rFont val="Verdana"/>
        <family val="2"/>
      </rPr>
      <t>,  I</t>
    </r>
    <r>
      <rPr>
        <b/>
        <vertAlign val="subscript"/>
        <sz val="11"/>
        <color theme="1"/>
        <rFont val="Symbol"/>
        <family val="1"/>
        <charset val="2"/>
      </rPr>
      <t>q</t>
    </r>
    <r>
      <rPr>
        <b/>
        <sz val="11"/>
        <color theme="1"/>
        <rFont val="Verdana"/>
        <family val="2"/>
      </rPr>
      <t xml:space="preserve"> =</t>
    </r>
  </si>
  <si>
    <t>Transformation Equations plus Mohr's Circle for Area Moment of Inertia</t>
  </si>
  <si>
    <r>
      <t>Results (I</t>
    </r>
    <r>
      <rPr>
        <b/>
        <vertAlign val="subscript"/>
        <sz val="10"/>
        <color theme="1"/>
        <rFont val="Verdana"/>
        <family val="2"/>
      </rPr>
      <t>u</t>
    </r>
    <r>
      <rPr>
        <b/>
        <sz val="10"/>
        <color theme="1"/>
        <rFont val="Verdana"/>
        <family val="2"/>
      </rPr>
      <t xml:space="preserve"> and I</t>
    </r>
    <r>
      <rPr>
        <b/>
        <vertAlign val="subscript"/>
        <sz val="10"/>
        <color theme="1"/>
        <rFont val="Verdana"/>
        <family val="2"/>
      </rPr>
      <t>v</t>
    </r>
    <r>
      <rPr>
        <b/>
        <sz val="10"/>
        <color theme="1"/>
        <rFont val="Verdana"/>
        <family val="2"/>
      </rPr>
      <t>):</t>
    </r>
  </si>
  <si>
    <t>Additional Calcs (Calculating Points for Mohr's Circle)</t>
  </si>
  <si>
    <r>
      <t>mm</t>
    </r>
    <r>
      <rPr>
        <b/>
        <vertAlign val="superscript"/>
        <sz val="10"/>
        <color theme="1"/>
        <rFont val="Verdana"/>
        <family val="2"/>
      </rPr>
      <t>4</t>
    </r>
  </si>
  <si>
    <r>
      <t>mm</t>
    </r>
    <r>
      <rPr>
        <b/>
        <vertAlign val="superscript"/>
        <sz val="10"/>
        <color theme="1"/>
        <rFont val="Verdana"/>
        <family val="2"/>
      </rPr>
      <t>4</t>
    </r>
    <r>
      <rPr>
        <sz val="10"/>
        <color theme="1"/>
        <rFont val="Arial"/>
        <family val="2"/>
      </rPr>
      <t/>
    </r>
  </si>
  <si>
    <t>These values come down from the numbers above.</t>
  </si>
  <si>
    <t xml:space="preserve"> (this value comes down from cell D10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</si>
</sst>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#0.00E+0"/>
    <numFmt numFmtId="166" formatCode="0.000"/>
  </numFmts>
  <fonts count="2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Arial"/>
      <family val="1"/>
      <charset val="2"/>
    </font>
    <font>
      <b/>
      <sz val="10"/>
      <color theme="1"/>
      <name val="Symbol"/>
      <family val="1"/>
      <charset val="2"/>
    </font>
    <font>
      <b/>
      <vertAlign val="subscript"/>
      <sz val="10"/>
      <color theme="1"/>
      <name val="Arial"/>
      <family val="2"/>
    </font>
    <font>
      <b/>
      <vertAlign val="subscript"/>
      <sz val="9"/>
      <color theme="1"/>
      <name val="Verdana"/>
      <family val="2"/>
    </font>
    <font>
      <sz val="10"/>
      <color theme="1"/>
      <name val="Verdana"/>
      <family val="2"/>
    </font>
    <font>
      <b/>
      <vertAlign val="superscript"/>
      <sz val="11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Verdana"/>
      <family val="2"/>
    </font>
    <font>
      <b/>
      <vertAlign val="subscript"/>
      <sz val="11"/>
      <color theme="1"/>
      <name val="Verdana"/>
      <family val="2"/>
    </font>
    <font>
      <b/>
      <vertAlign val="superscript"/>
      <sz val="10"/>
      <color theme="1"/>
      <name val="Verdana"/>
      <family val="2"/>
    </font>
    <font>
      <sz val="10"/>
      <color theme="1"/>
      <name val="Calibri"/>
      <family val="2"/>
    </font>
    <font>
      <b/>
      <vertAlign val="subscript"/>
      <sz val="11"/>
      <color theme="1"/>
      <name val="Symbol"/>
      <family val="1"/>
      <charset val="2"/>
    </font>
    <font>
      <b/>
      <sz val="10"/>
      <color theme="1"/>
      <name val="Verdana"/>
      <family val="1"/>
      <charset val="2"/>
    </font>
    <font>
      <b/>
      <vertAlign val="subscript"/>
      <sz val="10"/>
      <color theme="1"/>
      <name val="Verdana"/>
      <family val="2"/>
    </font>
    <font>
      <b/>
      <sz val="11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/>
    <xf numFmtId="165" fontId="6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16" fillId="0" borderId="0" xfId="0" applyFont="1"/>
    <xf numFmtId="0" fontId="4" fillId="0" borderId="0" xfId="0" applyFont="1"/>
    <xf numFmtId="0" fontId="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2" borderId="0" xfId="0" applyFont="1" applyFill="1"/>
    <xf numFmtId="0" fontId="0" fillId="2" borderId="0" xfId="0" applyFill="1"/>
    <xf numFmtId="0" fontId="7" fillId="0" borderId="0" xfId="0" applyFont="1" applyAlignment="1">
      <alignment horizontal="right" vertical="center"/>
    </xf>
    <xf numFmtId="2" fontId="7" fillId="4" borderId="1" xfId="0" applyNumberFormat="1" applyFont="1" applyFill="1" applyBorder="1" applyAlignment="1">
      <alignment horizontal="center" vertical="center"/>
    </xf>
    <xf numFmtId="0" fontId="17" fillId="0" borderId="0" xfId="0" applyFont="1"/>
    <xf numFmtId="166" fontId="7" fillId="3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indent="3"/>
    </xf>
    <xf numFmtId="0" fontId="22" fillId="0" borderId="0" xfId="0" applyFont="1" applyAlignment="1">
      <alignment horizontal="left" indent="3"/>
    </xf>
    <xf numFmtId="2" fontId="7" fillId="3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6" fillId="0" borderId="1" xfId="0" applyNumberFormat="1" applyFont="1" applyBorder="1" applyAlignment="1">
      <alignment horizontal="center"/>
    </xf>
    <xf numFmtId="0" fontId="7" fillId="5" borderId="0" xfId="0" applyFont="1" applyFill="1"/>
    <xf numFmtId="0" fontId="0" fillId="5" borderId="0" xfId="0" applyFill="1"/>
    <xf numFmtId="2" fontId="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Mohr's Circle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66592196451271"/>
          <c:y val="9.0206158717759943E-2"/>
          <c:w val="0.83449540381536247"/>
          <c:h val="0.8366426603060512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'Units of mm'!$L$56:$L$128</c:f>
              <c:numCache>
                <c:formatCode>##0.00E+0</c:formatCode>
                <c:ptCount val="73"/>
                <c:pt idx="0">
                  <c:v>1819301.364509172</c:v>
                </c:pt>
                <c:pt idx="1">
                  <c:v>1816233.7151834634</c:v>
                </c:pt>
                <c:pt idx="2">
                  <c:v>1807054.1138700033</c:v>
                </c:pt>
                <c:pt idx="3">
                  <c:v>1791832.4228775818</c:v>
                </c:pt>
                <c:pt idx="4">
                  <c:v>1770684.4884657599</c:v>
                </c:pt>
                <c:pt idx="5">
                  <c:v>1743771.2591848834</c:v>
                </c:pt>
                <c:pt idx="6">
                  <c:v>1711297.560960432</c:v>
                </c:pt>
                <c:pt idx="7">
                  <c:v>1673510.5382440486</c:v>
                </c:pt>
                <c:pt idx="8">
                  <c:v>1630697.7730950329</c:v>
                </c:pt>
                <c:pt idx="9">
                  <c:v>1583185.0965072238</c:v>
                </c:pt>
                <c:pt idx="10">
                  <c:v>1531334.1086383928</c:v>
                </c:pt>
                <c:pt idx="11">
                  <c:v>1475539.4268147042</c:v>
                </c:pt>
                <c:pt idx="12">
                  <c:v>1416225.6822545861</c:v>
                </c:pt>
                <c:pt idx="13">
                  <c:v>1353844.2883687592</c:v>
                </c:pt>
                <c:pt idx="14">
                  <c:v>1288870.0052316105</c:v>
                </c:pt>
                <c:pt idx="15">
                  <c:v>1221797.326370358</c:v>
                </c:pt>
                <c:pt idx="16">
                  <c:v>1153136.715370727</c:v>
                </c:pt>
                <c:pt idx="17">
                  <c:v>1083410.7209408351</c:v>
                </c:pt>
                <c:pt idx="18">
                  <c:v>1013150</c:v>
                </c:pt>
                <c:pt idx="19">
                  <c:v>942889.27905916492</c:v>
                </c:pt>
                <c:pt idx="20">
                  <c:v>873163.284629273</c:v>
                </c:pt>
                <c:pt idx="21">
                  <c:v>804502.67362964188</c:v>
                </c:pt>
                <c:pt idx="22">
                  <c:v>737429.9947683895</c:v>
                </c:pt>
                <c:pt idx="23">
                  <c:v>672455.71163124079</c:v>
                </c:pt>
                <c:pt idx="24">
                  <c:v>610074.3177454141</c:v>
                </c:pt>
                <c:pt idx="25">
                  <c:v>550760.5731852958</c:v>
                </c:pt>
                <c:pt idx="26">
                  <c:v>494965.89136160718</c:v>
                </c:pt>
                <c:pt idx="27">
                  <c:v>443114.90349277621</c:v>
                </c:pt>
                <c:pt idx="28">
                  <c:v>395602.2269049671</c:v>
                </c:pt>
                <c:pt idx="29">
                  <c:v>352789.4617559514</c:v>
                </c:pt>
                <c:pt idx="30">
                  <c:v>315002.43903956807</c:v>
                </c:pt>
                <c:pt idx="31">
                  <c:v>282528.74081511656</c:v>
                </c:pt>
                <c:pt idx="32">
                  <c:v>255615.5115342401</c:v>
                </c:pt>
                <c:pt idx="33">
                  <c:v>234467.57712241821</c:v>
                </c:pt>
                <c:pt idx="34">
                  <c:v>219245.88612999686</c:v>
                </c:pt>
                <c:pt idx="35">
                  <c:v>210066.2848165367</c:v>
                </c:pt>
                <c:pt idx="36">
                  <c:v>206998.63549082796</c:v>
                </c:pt>
                <c:pt idx="37">
                  <c:v>210066.2848165367</c:v>
                </c:pt>
                <c:pt idx="38">
                  <c:v>219245.88612999686</c:v>
                </c:pt>
                <c:pt idx="39">
                  <c:v>234467.57712241809</c:v>
                </c:pt>
                <c:pt idx="40">
                  <c:v>255615.51153423998</c:v>
                </c:pt>
                <c:pt idx="41">
                  <c:v>282528.74081511644</c:v>
                </c:pt>
                <c:pt idx="42">
                  <c:v>315002.43903956818</c:v>
                </c:pt>
                <c:pt idx="43">
                  <c:v>352789.46175595152</c:v>
                </c:pt>
                <c:pt idx="44">
                  <c:v>395602.2269049671</c:v>
                </c:pt>
                <c:pt idx="45">
                  <c:v>443114.90349277609</c:v>
                </c:pt>
                <c:pt idx="46">
                  <c:v>494965.89136160712</c:v>
                </c:pt>
                <c:pt idx="47">
                  <c:v>550760.57318529568</c:v>
                </c:pt>
                <c:pt idx="48">
                  <c:v>610074.31774541363</c:v>
                </c:pt>
                <c:pt idx="49">
                  <c:v>672455.71163124102</c:v>
                </c:pt>
                <c:pt idx="50">
                  <c:v>737429.99476838973</c:v>
                </c:pt>
                <c:pt idx="51">
                  <c:v>804502.673629642</c:v>
                </c:pt>
                <c:pt idx="52">
                  <c:v>873163.284629273</c:v>
                </c:pt>
                <c:pt idx="53">
                  <c:v>942889.27905916492</c:v>
                </c:pt>
                <c:pt idx="54">
                  <c:v>1013149.9999999999</c:v>
                </c:pt>
                <c:pt idx="55">
                  <c:v>1083410.7209408348</c:v>
                </c:pt>
                <c:pt idx="56">
                  <c:v>1153136.7153707268</c:v>
                </c:pt>
                <c:pt idx="57">
                  <c:v>1221797.3263703578</c:v>
                </c:pt>
                <c:pt idx="58">
                  <c:v>1288870.0052316107</c:v>
                </c:pt>
                <c:pt idx="59">
                  <c:v>1353844.2883687594</c:v>
                </c:pt>
                <c:pt idx="60">
                  <c:v>1416225.6822545861</c:v>
                </c:pt>
                <c:pt idx="61">
                  <c:v>1475539.426814704</c:v>
                </c:pt>
                <c:pt idx="62">
                  <c:v>1531334.1086383928</c:v>
                </c:pt>
                <c:pt idx="63">
                  <c:v>1583185.0965072238</c:v>
                </c:pt>
                <c:pt idx="64">
                  <c:v>1630697.7730950327</c:v>
                </c:pt>
                <c:pt idx="65">
                  <c:v>1673510.5382440481</c:v>
                </c:pt>
                <c:pt idx="66">
                  <c:v>1711297.5609604316</c:v>
                </c:pt>
                <c:pt idx="67">
                  <c:v>1743771.2591848834</c:v>
                </c:pt>
                <c:pt idx="68">
                  <c:v>1770684.4884657599</c:v>
                </c:pt>
                <c:pt idx="69">
                  <c:v>1791832.4228775818</c:v>
                </c:pt>
                <c:pt idx="70">
                  <c:v>1807054.1138700033</c:v>
                </c:pt>
                <c:pt idx="71">
                  <c:v>1816233.7151834634</c:v>
                </c:pt>
                <c:pt idx="72">
                  <c:v>1819301.364509172</c:v>
                </c:pt>
              </c:numCache>
            </c:numRef>
          </c:xVal>
          <c:yVal>
            <c:numRef>
              <c:f>'Units of mm'!$M$56:$M$128</c:f>
              <c:numCache>
                <c:formatCode>##0.00E+0</c:formatCode>
                <c:ptCount val="73"/>
                <c:pt idx="0">
                  <c:v>0</c:v>
                </c:pt>
                <c:pt idx="1">
                  <c:v>70260.720940835003</c:v>
                </c:pt>
                <c:pt idx="2">
                  <c:v>139986.71537072703</c:v>
                </c:pt>
                <c:pt idx="3">
                  <c:v>208647.32637035803</c:v>
                </c:pt>
                <c:pt idx="4">
                  <c:v>275720.00523161044</c:v>
                </c:pt>
                <c:pt idx="5">
                  <c:v>340694.28836875927</c:v>
                </c:pt>
                <c:pt idx="6">
                  <c:v>403075.68225458596</c:v>
                </c:pt>
                <c:pt idx="7">
                  <c:v>462389.42681470403</c:v>
                </c:pt>
                <c:pt idx="8">
                  <c:v>518184.1086383927</c:v>
                </c:pt>
                <c:pt idx="9">
                  <c:v>570035.09650722379</c:v>
                </c:pt>
                <c:pt idx="10">
                  <c:v>617547.7730950329</c:v>
                </c:pt>
                <c:pt idx="11">
                  <c:v>660360.53824404848</c:v>
                </c:pt>
                <c:pt idx="12">
                  <c:v>698147.56096043182</c:v>
                </c:pt>
                <c:pt idx="13">
                  <c:v>730621.25918488344</c:v>
                </c:pt>
                <c:pt idx="14">
                  <c:v>757534.4884657599</c:v>
                </c:pt>
                <c:pt idx="15">
                  <c:v>778682.42287758191</c:v>
                </c:pt>
                <c:pt idx="16">
                  <c:v>793904.11387000314</c:v>
                </c:pt>
                <c:pt idx="17">
                  <c:v>803083.7151834633</c:v>
                </c:pt>
                <c:pt idx="18">
                  <c:v>806151.36450917204</c:v>
                </c:pt>
                <c:pt idx="19">
                  <c:v>803083.7151834633</c:v>
                </c:pt>
                <c:pt idx="20">
                  <c:v>793904.11387000314</c:v>
                </c:pt>
                <c:pt idx="21">
                  <c:v>778682.42287758191</c:v>
                </c:pt>
                <c:pt idx="22">
                  <c:v>757534.48846576002</c:v>
                </c:pt>
                <c:pt idx="23">
                  <c:v>730621.25918488356</c:v>
                </c:pt>
                <c:pt idx="24">
                  <c:v>698147.56096043193</c:v>
                </c:pt>
                <c:pt idx="25">
                  <c:v>660360.53824404837</c:v>
                </c:pt>
                <c:pt idx="26">
                  <c:v>617547.7730950329</c:v>
                </c:pt>
                <c:pt idx="27">
                  <c:v>570035.09650722391</c:v>
                </c:pt>
                <c:pt idx="28">
                  <c:v>518184.10863839288</c:v>
                </c:pt>
                <c:pt idx="29">
                  <c:v>462389.42681470397</c:v>
                </c:pt>
                <c:pt idx="30">
                  <c:v>403075.68225458596</c:v>
                </c:pt>
                <c:pt idx="31">
                  <c:v>340694.28836875933</c:v>
                </c:pt>
                <c:pt idx="32">
                  <c:v>275720.00523161056</c:v>
                </c:pt>
                <c:pt idx="33">
                  <c:v>208647.32637035826</c:v>
                </c:pt>
                <c:pt idx="34">
                  <c:v>139986.71537072698</c:v>
                </c:pt>
                <c:pt idx="35">
                  <c:v>70260.720940835032</c:v>
                </c:pt>
                <c:pt idx="36">
                  <c:v>9.8765509865088785E-11</c:v>
                </c:pt>
                <c:pt idx="37">
                  <c:v>-70260.720940834828</c:v>
                </c:pt>
                <c:pt idx="38">
                  <c:v>-139986.71537072712</c:v>
                </c:pt>
                <c:pt idx="39">
                  <c:v>-208647.32637035809</c:v>
                </c:pt>
                <c:pt idx="40">
                  <c:v>-275720.00523161038</c:v>
                </c:pt>
                <c:pt idx="41">
                  <c:v>-340694.28836875915</c:v>
                </c:pt>
                <c:pt idx="42">
                  <c:v>-403075.68225458614</c:v>
                </c:pt>
                <c:pt idx="43">
                  <c:v>-462389.42681470414</c:v>
                </c:pt>
                <c:pt idx="44">
                  <c:v>-518184.1086383927</c:v>
                </c:pt>
                <c:pt idx="45">
                  <c:v>-570035.09650722379</c:v>
                </c:pt>
                <c:pt idx="46">
                  <c:v>-617547.7730950329</c:v>
                </c:pt>
                <c:pt idx="47">
                  <c:v>-660360.53824404825</c:v>
                </c:pt>
                <c:pt idx="48">
                  <c:v>-698147.5609604317</c:v>
                </c:pt>
                <c:pt idx="49">
                  <c:v>-730621.25918488356</c:v>
                </c:pt>
                <c:pt idx="50">
                  <c:v>-757534.48846576002</c:v>
                </c:pt>
                <c:pt idx="51">
                  <c:v>-778682.42287758191</c:v>
                </c:pt>
                <c:pt idx="52">
                  <c:v>-793904.11387000314</c:v>
                </c:pt>
                <c:pt idx="53">
                  <c:v>-803083.7151834633</c:v>
                </c:pt>
                <c:pt idx="54">
                  <c:v>-806151.36450917204</c:v>
                </c:pt>
                <c:pt idx="55">
                  <c:v>-803083.7151834633</c:v>
                </c:pt>
                <c:pt idx="56">
                  <c:v>-793904.11387000326</c:v>
                </c:pt>
                <c:pt idx="57">
                  <c:v>-778682.42287758202</c:v>
                </c:pt>
                <c:pt idx="58">
                  <c:v>-757534.4884657599</c:v>
                </c:pt>
                <c:pt idx="59">
                  <c:v>-730621.25918488344</c:v>
                </c:pt>
                <c:pt idx="60">
                  <c:v>-698147.56096043182</c:v>
                </c:pt>
                <c:pt idx="61">
                  <c:v>-660360.53824404848</c:v>
                </c:pt>
                <c:pt idx="62">
                  <c:v>-617547.77309503302</c:v>
                </c:pt>
                <c:pt idx="63">
                  <c:v>-570035.09650722391</c:v>
                </c:pt>
                <c:pt idx="64">
                  <c:v>-518184.10863839299</c:v>
                </c:pt>
                <c:pt idx="65">
                  <c:v>-462389.42681470438</c:v>
                </c:pt>
                <c:pt idx="66">
                  <c:v>-403075.68225458637</c:v>
                </c:pt>
                <c:pt idx="67">
                  <c:v>-340694.28836875909</c:v>
                </c:pt>
                <c:pt idx="68">
                  <c:v>-275720.00523161032</c:v>
                </c:pt>
                <c:pt idx="69">
                  <c:v>-208647.326370358</c:v>
                </c:pt>
                <c:pt idx="70">
                  <c:v>-139986.71537072706</c:v>
                </c:pt>
                <c:pt idx="71">
                  <c:v>-70260.720940835134</c:v>
                </c:pt>
                <c:pt idx="72">
                  <c:v>-1.9753101973017757E-10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AC-4EB5-9969-8335D36E6FE7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'Units of mm'!$G$48</c:f>
              <c:numCache>
                <c:formatCode>##0.00E+0</c:formatCode>
                <c:ptCount val="1"/>
                <c:pt idx="0">
                  <c:v>1013150</c:v>
                </c:pt>
              </c:numCache>
            </c:numRef>
          </c:xVal>
          <c:yVal>
            <c:numRef>
              <c:f>'Units of mm'!$H$48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AC-4EB5-9969-8335D36E6FE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0000FF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'Units of mm'!$E$32</c:f>
              <c:numCache>
                <c:formatCode>##0.00E+0</c:formatCode>
                <c:ptCount val="1"/>
                <c:pt idx="0">
                  <c:v>613300</c:v>
                </c:pt>
              </c:numCache>
            </c:numRef>
          </c:xVal>
          <c:yVal>
            <c:numRef>
              <c:f>'Units of mm'!$F$32</c:f>
              <c:numCache>
                <c:formatCode>##0.00E+0</c:formatCode>
                <c:ptCount val="1"/>
                <c:pt idx="0">
                  <c:v>700000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AC-4EB5-9969-8335D36E6FE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00CC00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'Units of mm'!$E$33</c:f>
              <c:numCache>
                <c:formatCode>##0.00E+0</c:formatCode>
                <c:ptCount val="1"/>
                <c:pt idx="0">
                  <c:v>1413000</c:v>
                </c:pt>
              </c:numCache>
            </c:numRef>
          </c:xVal>
          <c:yVal>
            <c:numRef>
              <c:f>'Units of mm'!$F$33</c:f>
              <c:numCache>
                <c:formatCode>##0.00E+0</c:formatCode>
                <c:ptCount val="1"/>
                <c:pt idx="0">
                  <c:v>-700000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AC-4EB5-9969-8335D36E6FE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'Units of mm'!$E$32:$E$33</c:f>
              <c:numCache>
                <c:formatCode>##0.00E+0</c:formatCode>
                <c:ptCount val="2"/>
                <c:pt idx="0">
                  <c:v>613300</c:v>
                </c:pt>
                <c:pt idx="1">
                  <c:v>1413000</c:v>
                </c:pt>
              </c:numCache>
            </c:numRef>
          </c:xVal>
          <c:yVal>
            <c:numRef>
              <c:f>'Units of mm'!$F$32:$F$33</c:f>
              <c:numCache>
                <c:formatCode>##0.00E+0</c:formatCode>
                <c:ptCount val="2"/>
                <c:pt idx="0">
                  <c:v>700000</c:v>
                </c:pt>
                <c:pt idx="1">
                  <c:v>-700000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AC-4EB5-9969-8335D36E6FE7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'Units of mm'!$E$44</c:f>
              <c:numCache>
                <c:formatCode>##0.00E+0</c:formatCode>
                <c:ptCount val="1"/>
                <c:pt idx="0">
                  <c:v>1156798.4561994541</c:v>
                </c:pt>
              </c:numCache>
            </c:numRef>
          </c:xVal>
          <c:yVal>
            <c:numRef>
              <c:f>'Units of mm'!$F$44</c:f>
              <c:numCache>
                <c:formatCode>##0.00E+0</c:formatCode>
                <c:ptCount val="1"/>
                <c:pt idx="0">
                  <c:v>793249.73591644736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AC-4EB5-9969-8335D36E6FE7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CFFCC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'Units of mm'!$E$45</c:f>
              <c:numCache>
                <c:formatCode>##0.00E+0</c:formatCode>
                <c:ptCount val="1"/>
                <c:pt idx="0">
                  <c:v>869501.54380054586</c:v>
                </c:pt>
              </c:numCache>
            </c:numRef>
          </c:xVal>
          <c:yVal>
            <c:numRef>
              <c:f>'Units of mm'!$F$45</c:f>
              <c:numCache>
                <c:formatCode>##0.00E+0</c:formatCode>
                <c:ptCount val="1"/>
                <c:pt idx="0">
                  <c:v>-793249.73591644736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AC-4EB5-9969-8335D36E6FE7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'Units of mm'!$E$44:$E$45</c:f>
              <c:numCache>
                <c:formatCode>##0.00E+0</c:formatCode>
                <c:ptCount val="2"/>
                <c:pt idx="0">
                  <c:v>1156798.4561994541</c:v>
                </c:pt>
                <c:pt idx="1">
                  <c:v>869501.54380054586</c:v>
                </c:pt>
              </c:numCache>
            </c:numRef>
          </c:xVal>
          <c:yVal>
            <c:numRef>
              <c:f>'Units of mm'!$F$44:$F$45</c:f>
              <c:numCache>
                <c:formatCode>##0.00E+0</c:formatCode>
                <c:ptCount val="2"/>
                <c:pt idx="0">
                  <c:v>793249.73591644736</c:v>
                </c:pt>
                <c:pt idx="1">
                  <c:v>-793249.73591644736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AC-4EB5-9969-8335D36E6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263408"/>
        <c:axId val="942258832"/>
      </c:scatterChart>
      <c:valAx>
        <c:axId val="94226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0.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58832"/>
        <c:crosses val="autoZero"/>
        <c:crossBetween val="midCat"/>
      </c:valAx>
      <c:valAx>
        <c:axId val="9422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0.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63408"/>
        <c:crosses val="autoZero"/>
        <c:crossBetween val="midCat"/>
      </c:valAx>
      <c:spPr>
        <a:solidFill>
          <a:srgbClr val="FFFFCC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Mohr's Circle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66592196451271"/>
          <c:y val="9.0206158717759943E-2"/>
          <c:w val="0.83449540381536247"/>
          <c:h val="0.8366426603060512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'Units of inches'!$L$56:$L$128</c:f>
              <c:numCache>
                <c:formatCode>##0.00E+0</c:formatCode>
                <c:ptCount val="73"/>
                <c:pt idx="0">
                  <c:v>45.865847094827998</c:v>
                </c:pt>
                <c:pt idx="1">
                  <c:v>45.788748454715197</c:v>
                </c:pt>
                <c:pt idx="2">
                  <c:v>45.558039301581488</c:v>
                </c:pt>
                <c:pt idx="3">
                  <c:v>45.175475471388204</c:v>
                </c:pt>
                <c:pt idx="4">
                  <c:v>44.643968505881482</c:v>
                </c:pt>
                <c:pt idx="5">
                  <c:v>43.967563494001496</c:v>
                </c:pt>
                <c:pt idx="6">
                  <c:v>43.151408286313185</c:v>
                </c:pt>
                <c:pt idx="7">
                  <c:v>42.20171431675503</c:v>
                </c:pt>
                <c:pt idx="8">
                  <c:v>41.12570932987628</c:v>
                </c:pt>
                <c:pt idx="9">
                  <c:v>39.931582373336639</c:v>
                </c:pt>
                <c:pt idx="10">
                  <c:v>38.628421474308951</c:v>
                </c:pt>
                <c:pt idx="11">
                  <c:v>37.226144474104892</c:v>
                </c:pt>
                <c:pt idx="12">
                  <c:v>35.735423547414001</c:v>
                </c:pt>
                <c:pt idx="13">
                  <c:v>34.167603980610309</c:v>
                </c:pt>
                <c:pt idx="14">
                  <c:v>32.534617827272534</c:v>
                </c:pt>
                <c:pt idx="15">
                  <c:v>30.848893098051565</c:v>
                </c:pt>
                <c:pt idx="16">
                  <c:v>29.123259176005202</c:v>
                </c:pt>
                <c:pt idx="17">
                  <c:v>27.370849177246466</c:v>
                </c:pt>
                <c:pt idx="18">
                  <c:v>25.605</c:v>
                </c:pt>
                <c:pt idx="19">
                  <c:v>23.839150822753531</c:v>
                </c:pt>
                <c:pt idx="20">
                  <c:v>22.086740823994798</c:v>
                </c:pt>
                <c:pt idx="21">
                  <c:v>20.361106901948435</c:v>
                </c:pt>
                <c:pt idx="22">
                  <c:v>18.67538217272747</c:v>
                </c:pt>
                <c:pt idx="23">
                  <c:v>17.042396019389692</c:v>
                </c:pt>
                <c:pt idx="24">
                  <c:v>15.474576452586007</c:v>
                </c:pt>
                <c:pt idx="25">
                  <c:v>13.983855525895111</c:v>
                </c:pt>
                <c:pt idx="26">
                  <c:v>12.581578525691047</c:v>
                </c:pt>
                <c:pt idx="27">
                  <c:v>11.278417626663364</c:v>
                </c:pt>
                <c:pt idx="28">
                  <c:v>10.084290670123725</c:v>
                </c:pt>
                <c:pt idx="29">
                  <c:v>9.0082856832449636</c:v>
                </c:pt>
                <c:pt idx="30">
                  <c:v>8.0585917136868126</c:v>
                </c:pt>
                <c:pt idx="31">
                  <c:v>7.2424365059985014</c:v>
                </c:pt>
                <c:pt idx="32">
                  <c:v>6.5660314941185227</c:v>
                </c:pt>
                <c:pt idx="33">
                  <c:v>6.0345245286118008</c:v>
                </c:pt>
                <c:pt idx="34">
                  <c:v>5.6519606984185167</c:v>
                </c:pt>
                <c:pt idx="35">
                  <c:v>5.4212515452848038</c:v>
                </c:pt>
                <c:pt idx="36">
                  <c:v>5.3441529051720025</c:v>
                </c:pt>
                <c:pt idx="37">
                  <c:v>5.4212515452848038</c:v>
                </c:pt>
                <c:pt idx="38">
                  <c:v>5.6519606984185167</c:v>
                </c:pt>
                <c:pt idx="39">
                  <c:v>6.0345245286117972</c:v>
                </c:pt>
                <c:pt idx="40">
                  <c:v>6.5660314941185192</c:v>
                </c:pt>
                <c:pt idx="41">
                  <c:v>7.2424365059984979</c:v>
                </c:pt>
                <c:pt idx="42">
                  <c:v>8.0585917136868126</c:v>
                </c:pt>
                <c:pt idx="43">
                  <c:v>9.0082856832449671</c:v>
                </c:pt>
                <c:pt idx="44">
                  <c:v>10.084290670123723</c:v>
                </c:pt>
                <c:pt idx="45">
                  <c:v>11.278417626663359</c:v>
                </c:pt>
                <c:pt idx="46">
                  <c:v>12.581578525691045</c:v>
                </c:pt>
                <c:pt idx="47">
                  <c:v>13.983855525895105</c:v>
                </c:pt>
                <c:pt idx="48">
                  <c:v>15.474576452585993</c:v>
                </c:pt>
                <c:pt idx="49">
                  <c:v>17.042396019389699</c:v>
                </c:pt>
                <c:pt idx="50">
                  <c:v>18.675382172727474</c:v>
                </c:pt>
                <c:pt idx="51">
                  <c:v>20.361106901948439</c:v>
                </c:pt>
                <c:pt idx="52">
                  <c:v>22.086740823994798</c:v>
                </c:pt>
                <c:pt idx="53">
                  <c:v>23.839150822753531</c:v>
                </c:pt>
                <c:pt idx="54">
                  <c:v>25.604999999999997</c:v>
                </c:pt>
                <c:pt idx="55">
                  <c:v>27.370849177246463</c:v>
                </c:pt>
                <c:pt idx="56">
                  <c:v>29.123259176005195</c:v>
                </c:pt>
                <c:pt idx="57">
                  <c:v>30.848893098051555</c:v>
                </c:pt>
                <c:pt idx="58">
                  <c:v>32.534617827272534</c:v>
                </c:pt>
                <c:pt idx="59">
                  <c:v>34.167603980610309</c:v>
                </c:pt>
                <c:pt idx="60">
                  <c:v>35.735423547414001</c:v>
                </c:pt>
                <c:pt idx="61">
                  <c:v>37.226144474104885</c:v>
                </c:pt>
                <c:pt idx="62">
                  <c:v>38.628421474308951</c:v>
                </c:pt>
                <c:pt idx="63">
                  <c:v>39.931582373336639</c:v>
                </c:pt>
                <c:pt idx="64">
                  <c:v>41.125709329876273</c:v>
                </c:pt>
                <c:pt idx="65">
                  <c:v>42.20171431675503</c:v>
                </c:pt>
                <c:pt idx="66">
                  <c:v>43.151408286313185</c:v>
                </c:pt>
                <c:pt idx="67">
                  <c:v>43.967563494001503</c:v>
                </c:pt>
                <c:pt idx="68">
                  <c:v>44.643968505881482</c:v>
                </c:pt>
                <c:pt idx="69">
                  <c:v>45.175475471388204</c:v>
                </c:pt>
                <c:pt idx="70">
                  <c:v>45.558039301581488</c:v>
                </c:pt>
                <c:pt idx="71">
                  <c:v>45.788748454715197</c:v>
                </c:pt>
                <c:pt idx="72">
                  <c:v>45.865847094827998</c:v>
                </c:pt>
              </c:numCache>
            </c:numRef>
          </c:xVal>
          <c:yVal>
            <c:numRef>
              <c:f>'Units of inches'!$M$56:$M$128</c:f>
              <c:numCache>
                <c:formatCode>##0.00E+0</c:formatCode>
                <c:ptCount val="73"/>
                <c:pt idx="0">
                  <c:v>0</c:v>
                </c:pt>
                <c:pt idx="1">
                  <c:v>1.7658491772464664</c:v>
                </c:pt>
                <c:pt idx="2">
                  <c:v>3.5182591760052015</c:v>
                </c:pt>
                <c:pt idx="3">
                  <c:v>5.2438930980515641</c:v>
                </c:pt>
                <c:pt idx="4">
                  <c:v>6.9296178272725308</c:v>
                </c:pt>
                <c:pt idx="5">
                  <c:v>8.5626039806103087</c:v>
                </c:pt>
                <c:pt idx="6">
                  <c:v>10.130423547413997</c:v>
                </c:pt>
                <c:pt idx="7">
                  <c:v>11.621144474104888</c:v>
                </c:pt>
                <c:pt idx="8">
                  <c:v>13.023421474308952</c:v>
                </c:pt>
                <c:pt idx="9">
                  <c:v>14.326582373336636</c:v>
                </c:pt>
                <c:pt idx="10">
                  <c:v>15.520709329876277</c:v>
                </c:pt>
                <c:pt idx="11">
                  <c:v>16.596714316755033</c:v>
                </c:pt>
                <c:pt idx="12">
                  <c:v>17.546408286313188</c:v>
                </c:pt>
                <c:pt idx="13">
                  <c:v>18.362563494001499</c:v>
                </c:pt>
                <c:pt idx="14">
                  <c:v>19.038968505881478</c:v>
                </c:pt>
                <c:pt idx="15">
                  <c:v>19.570475471388203</c:v>
                </c:pt>
                <c:pt idx="16">
                  <c:v>19.953039301581484</c:v>
                </c:pt>
                <c:pt idx="17">
                  <c:v>20.183748454715197</c:v>
                </c:pt>
                <c:pt idx="18">
                  <c:v>20.260847094827998</c:v>
                </c:pt>
                <c:pt idx="19">
                  <c:v>20.183748454715197</c:v>
                </c:pt>
                <c:pt idx="20">
                  <c:v>19.953039301581484</c:v>
                </c:pt>
                <c:pt idx="21">
                  <c:v>19.570475471388203</c:v>
                </c:pt>
                <c:pt idx="22">
                  <c:v>19.038968505881481</c:v>
                </c:pt>
                <c:pt idx="23">
                  <c:v>18.362563494001503</c:v>
                </c:pt>
                <c:pt idx="24">
                  <c:v>17.546408286313188</c:v>
                </c:pt>
                <c:pt idx="25">
                  <c:v>16.596714316755033</c:v>
                </c:pt>
                <c:pt idx="26">
                  <c:v>15.520709329876277</c:v>
                </c:pt>
                <c:pt idx="27">
                  <c:v>14.32658237333664</c:v>
                </c:pt>
                <c:pt idx="28">
                  <c:v>13.023421474308956</c:v>
                </c:pt>
                <c:pt idx="29">
                  <c:v>11.621144474104884</c:v>
                </c:pt>
                <c:pt idx="30">
                  <c:v>10.130423547413997</c:v>
                </c:pt>
                <c:pt idx="31">
                  <c:v>8.5626039806103105</c:v>
                </c:pt>
                <c:pt idx="32">
                  <c:v>6.9296178272725335</c:v>
                </c:pt>
                <c:pt idx="33">
                  <c:v>5.2438930980515694</c:v>
                </c:pt>
                <c:pt idx="34">
                  <c:v>3.5182591760052002</c:v>
                </c:pt>
                <c:pt idx="35">
                  <c:v>1.7658491772464668</c:v>
                </c:pt>
                <c:pt idx="36">
                  <c:v>2.4822545513368325E-15</c:v>
                </c:pt>
                <c:pt idx="37">
                  <c:v>-1.7658491772464617</c:v>
                </c:pt>
                <c:pt idx="38">
                  <c:v>-3.5182591760052042</c:v>
                </c:pt>
                <c:pt idx="39">
                  <c:v>-5.243893098051565</c:v>
                </c:pt>
                <c:pt idx="40">
                  <c:v>-6.9296178272725291</c:v>
                </c:pt>
                <c:pt idx="41">
                  <c:v>-8.5626039806103051</c:v>
                </c:pt>
                <c:pt idx="42">
                  <c:v>-10.130423547414001</c:v>
                </c:pt>
                <c:pt idx="43">
                  <c:v>-11.62114447410489</c:v>
                </c:pt>
                <c:pt idx="44">
                  <c:v>-13.023421474308952</c:v>
                </c:pt>
                <c:pt idx="45">
                  <c:v>-14.326582373336636</c:v>
                </c:pt>
                <c:pt idx="46">
                  <c:v>-15.520709329876276</c:v>
                </c:pt>
                <c:pt idx="47">
                  <c:v>-16.59671431675503</c:v>
                </c:pt>
                <c:pt idx="48">
                  <c:v>-17.546408286313181</c:v>
                </c:pt>
                <c:pt idx="49">
                  <c:v>-18.362563494001503</c:v>
                </c:pt>
                <c:pt idx="50">
                  <c:v>-19.038968505881481</c:v>
                </c:pt>
                <c:pt idx="51">
                  <c:v>-19.570475471388203</c:v>
                </c:pt>
                <c:pt idx="52">
                  <c:v>-19.953039301581484</c:v>
                </c:pt>
                <c:pt idx="53">
                  <c:v>-20.183748454715197</c:v>
                </c:pt>
                <c:pt idx="54">
                  <c:v>-20.260847094827998</c:v>
                </c:pt>
                <c:pt idx="55">
                  <c:v>-20.183748454715197</c:v>
                </c:pt>
                <c:pt idx="56">
                  <c:v>-19.953039301581487</c:v>
                </c:pt>
                <c:pt idx="57">
                  <c:v>-19.570475471388207</c:v>
                </c:pt>
                <c:pt idx="58">
                  <c:v>-19.038968505881478</c:v>
                </c:pt>
                <c:pt idx="59">
                  <c:v>-18.362563494001499</c:v>
                </c:pt>
                <c:pt idx="60">
                  <c:v>-17.546408286313188</c:v>
                </c:pt>
                <c:pt idx="61">
                  <c:v>-16.596714316755033</c:v>
                </c:pt>
                <c:pt idx="62">
                  <c:v>-15.520709329876279</c:v>
                </c:pt>
                <c:pt idx="63">
                  <c:v>-14.326582373336642</c:v>
                </c:pt>
                <c:pt idx="64">
                  <c:v>-13.023421474308959</c:v>
                </c:pt>
                <c:pt idx="65">
                  <c:v>-11.621144474104897</c:v>
                </c:pt>
                <c:pt idx="66">
                  <c:v>-10.130423547414008</c:v>
                </c:pt>
                <c:pt idx="67">
                  <c:v>-8.5626039806103034</c:v>
                </c:pt>
                <c:pt idx="68">
                  <c:v>-6.9296178272725282</c:v>
                </c:pt>
                <c:pt idx="69">
                  <c:v>-5.2438930980515623</c:v>
                </c:pt>
                <c:pt idx="70">
                  <c:v>-3.5182591760052024</c:v>
                </c:pt>
                <c:pt idx="71">
                  <c:v>-1.7658491772464695</c:v>
                </c:pt>
                <c:pt idx="72">
                  <c:v>-4.964509102673665E-15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20-4683-B24A-49CD3898CDEF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'Units of inches'!$G$48</c:f>
              <c:numCache>
                <c:formatCode>0.000</c:formatCode>
                <c:ptCount val="1"/>
                <c:pt idx="0">
                  <c:v>25.605</c:v>
                </c:pt>
              </c:numCache>
            </c:numRef>
          </c:xVal>
          <c:yVal>
            <c:numRef>
              <c:f>'Units of inches'!$H$48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20-4683-B24A-49CD3898CDE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0000FF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'Units of inches'!$E$32</c:f>
              <c:numCache>
                <c:formatCode>0.000</c:formatCode>
                <c:ptCount val="1"/>
                <c:pt idx="0">
                  <c:v>10.26</c:v>
                </c:pt>
              </c:numCache>
            </c:numRef>
          </c:xVal>
          <c:yVal>
            <c:numRef>
              <c:f>'Units of inches'!$F$32</c:f>
              <c:numCache>
                <c:formatCode>0.000</c:formatCode>
                <c:ptCount val="1"/>
                <c:pt idx="0">
                  <c:v>-13.23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20-4683-B24A-49CD3898CDE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00CC00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'Units of inches'!$E$33</c:f>
              <c:numCache>
                <c:formatCode>0.000</c:formatCode>
                <c:ptCount val="1"/>
                <c:pt idx="0">
                  <c:v>40.950000000000003</c:v>
                </c:pt>
              </c:numCache>
            </c:numRef>
          </c:xVal>
          <c:yVal>
            <c:numRef>
              <c:f>'Units of inches'!$F$33</c:f>
              <c:numCache>
                <c:formatCode>0.000</c:formatCode>
                <c:ptCount val="1"/>
                <c:pt idx="0">
                  <c:v>13.23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20-4683-B24A-49CD3898CDE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'Units of inches'!$E$32:$E$33</c:f>
              <c:numCache>
                <c:formatCode>0.000</c:formatCode>
                <c:ptCount val="2"/>
                <c:pt idx="0">
                  <c:v>10.26</c:v>
                </c:pt>
                <c:pt idx="1">
                  <c:v>40.950000000000003</c:v>
                </c:pt>
              </c:numCache>
            </c:numRef>
          </c:xVal>
          <c:yVal>
            <c:numRef>
              <c:f>'Units of inches'!$F$32:$F$33</c:f>
              <c:numCache>
                <c:formatCode>0.000</c:formatCode>
                <c:ptCount val="2"/>
                <c:pt idx="0">
                  <c:v>-13.23</c:v>
                </c:pt>
                <c:pt idx="1">
                  <c:v>13.23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20-4683-B24A-49CD3898CDE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'Units of inches'!$E$44</c:f>
              <c:numCache>
                <c:formatCode>0.000</c:formatCode>
                <c:ptCount val="1"/>
                <c:pt idx="0">
                  <c:v>29.390016092068123</c:v>
                </c:pt>
              </c:numCache>
            </c:numRef>
          </c:xVal>
          <c:yVal>
            <c:numRef>
              <c:f>'Units of inches'!$F$44</c:f>
              <c:numCache>
                <c:formatCode>0.000</c:formatCode>
                <c:ptCount val="1"/>
                <c:pt idx="0">
                  <c:v>-19.904159821072213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20-4683-B24A-49CD3898CDEF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CFFCC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'Units of inches'!$E$45</c:f>
              <c:numCache>
                <c:formatCode>0.000</c:formatCode>
                <c:ptCount val="1"/>
                <c:pt idx="0">
                  <c:v>21.819983907931878</c:v>
                </c:pt>
              </c:numCache>
            </c:numRef>
          </c:xVal>
          <c:yVal>
            <c:numRef>
              <c:f>'Units of inches'!$F$45</c:f>
              <c:numCache>
                <c:formatCode>0.000</c:formatCode>
                <c:ptCount val="1"/>
                <c:pt idx="0">
                  <c:v>19.904159821072213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F20-4683-B24A-49CD3898CDEF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'Units of inches'!$E$44:$E$45</c:f>
              <c:numCache>
                <c:formatCode>0.000</c:formatCode>
                <c:ptCount val="2"/>
                <c:pt idx="0">
                  <c:v>29.390016092068123</c:v>
                </c:pt>
                <c:pt idx="1">
                  <c:v>21.819983907931878</c:v>
                </c:pt>
              </c:numCache>
            </c:numRef>
          </c:xVal>
          <c:yVal>
            <c:numRef>
              <c:f>'Units of inches'!$F$44:$F$45</c:f>
              <c:numCache>
                <c:formatCode>0.000</c:formatCode>
                <c:ptCount val="2"/>
                <c:pt idx="0">
                  <c:v>-19.904159821072213</c:v>
                </c:pt>
                <c:pt idx="1">
                  <c:v>19.904159821072213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F20-4683-B24A-49CD3898C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263408"/>
        <c:axId val="942258832"/>
      </c:scatterChart>
      <c:valAx>
        <c:axId val="94226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0.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58832"/>
        <c:crosses val="autoZero"/>
        <c:crossBetween val="midCat"/>
      </c:valAx>
      <c:valAx>
        <c:axId val="9422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0.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63408"/>
        <c:crosses val="autoZero"/>
        <c:crossBetween val="midCat"/>
      </c:valAx>
      <c:spPr>
        <a:solidFill>
          <a:srgbClr val="FFFFCC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12" Type="http://schemas.openxmlformats.org/officeDocument/2006/relationships/image" Target="../media/image1.emf"/><Relationship Id="rId2" Type="http://schemas.openxmlformats.org/officeDocument/2006/relationships/image" Target="../media/image2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hart" Target="../charts/chart1.xml"/><Relationship Id="rId5" Type="http://schemas.openxmlformats.org/officeDocument/2006/relationships/customXml" Target="../ink/ink3.xml"/><Relationship Id="rId10" Type="http://schemas.openxmlformats.org/officeDocument/2006/relationships/customXml" Target="../ink/ink5.xml"/><Relationship Id="rId4" Type="http://schemas.openxmlformats.org/officeDocument/2006/relationships/image" Target="../media/image3.png"/><Relationship Id="rId9" Type="http://schemas.openxmlformats.org/officeDocument/2006/relationships/image" Target="../media/image60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1.xml"/><Relationship Id="rId3" Type="http://schemas.openxmlformats.org/officeDocument/2006/relationships/customXml" Target="../ink/ink7.xml"/><Relationship Id="rId12" Type="http://schemas.openxmlformats.org/officeDocument/2006/relationships/image" Target="../media/image1.emf"/><Relationship Id="rId2" Type="http://schemas.openxmlformats.org/officeDocument/2006/relationships/image" Target="../media/image2.png"/><Relationship Id="rId1" Type="http://schemas.openxmlformats.org/officeDocument/2006/relationships/customXml" Target="../ink/ink6.xml"/><Relationship Id="rId6" Type="http://schemas.openxmlformats.org/officeDocument/2006/relationships/customXml" Target="../ink/ink9.xml"/><Relationship Id="rId11" Type="http://schemas.openxmlformats.org/officeDocument/2006/relationships/chart" Target="../charts/chart2.xml"/><Relationship Id="rId5" Type="http://schemas.openxmlformats.org/officeDocument/2006/relationships/customXml" Target="../ink/ink8.xml"/><Relationship Id="rId10" Type="http://schemas.openxmlformats.org/officeDocument/2006/relationships/customXml" Target="../ink/ink10.xml"/><Relationship Id="rId4" Type="http://schemas.openxmlformats.org/officeDocument/2006/relationships/image" Target="../media/image3.png"/><Relationship Id="rId9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129360</xdr:colOff>
      <xdr:row>23</xdr:row>
      <xdr:rowOff>30240</xdr:rowOff>
    </xdr:from>
    <xdr:to>
      <xdr:col>10</xdr:col>
      <xdr:colOff>129720</xdr:colOff>
      <xdr:row>23</xdr:row>
      <xdr:rowOff>30600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9D2F5F8-18D5-49B1-AA6B-07AA34A04E6E}"/>
                </a:ext>
              </a:extLst>
            </xdr14:cNvPr>
            <xdr14:cNvContentPartPr/>
          </xdr14:nvContentPartPr>
          <xdr14:nvPr macro=""/>
          <xdr14:xfrm>
            <a:off x="6514920" y="10818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9902AB6-383D-4884-AB97-65E2A78755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05920" y="1073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90240</xdr:colOff>
      <xdr:row>21</xdr:row>
      <xdr:rowOff>144240</xdr:rowOff>
    </xdr:from>
    <xdr:to>
      <xdr:col>12</xdr:col>
      <xdr:colOff>144960</xdr:colOff>
      <xdr:row>21</xdr:row>
      <xdr:rowOff>164400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EF121A3-1E9D-4CBD-8439-06C4136392BB}"/>
                </a:ext>
              </a:extLst>
            </xdr14:cNvPr>
            <xdr14:cNvContentPartPr/>
          </xdr14:nvContentPartPr>
          <xdr14:nvPr macro=""/>
          <xdr14:xfrm>
            <a:off x="7695000" y="845280"/>
            <a:ext cx="54720" cy="201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7270283-00B9-4F66-A616-CDC2E103E95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686360" y="836640"/>
              <a:ext cx="7236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601560</xdr:colOff>
      <xdr:row>30</xdr:row>
      <xdr:rowOff>0</xdr:rowOff>
    </xdr:from>
    <xdr:to>
      <xdr:col>7</xdr:col>
      <xdr:colOff>601920</xdr:colOff>
      <xdr:row>30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8F3C4FE-37B2-4D6E-8D1A-481E3EE6820F}"/>
                </a:ext>
              </a:extLst>
            </xdr14:cNvPr>
            <xdr14:cNvContentPartPr/>
          </xdr14:nvContentPartPr>
          <xdr14:nvPr macro=""/>
          <xdr14:xfrm>
            <a:off x="4944960" y="1813320"/>
            <a:ext cx="360" cy="3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D373EDB-C03A-4A0C-A308-FB2C856E6D7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35960" y="1804680"/>
              <a:ext cx="1800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411240</xdr:colOff>
      <xdr:row>30</xdr:row>
      <xdr:rowOff>0</xdr:rowOff>
    </xdr:from>
    <xdr:to>
      <xdr:col>10</xdr:col>
      <xdr:colOff>411600</xdr:colOff>
      <xdr:row>30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FE01BBF-1213-420A-9F97-E5F048EFDCFD}"/>
                </a:ext>
              </a:extLst>
            </xdr14:cNvPr>
            <xdr14:cNvContentPartPr/>
          </xdr14:nvContentPartPr>
          <xdr14:nvPr macro=""/>
          <xdr14:xfrm>
            <a:off x="6796800" y="143964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73951D7-3A8F-4EE3-AA98-7D18B0BE3BC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87800" y="1431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281640</xdr:colOff>
      <xdr:row>30</xdr:row>
      <xdr:rowOff>0</xdr:rowOff>
    </xdr:from>
    <xdr:to>
      <xdr:col>13</xdr:col>
      <xdr:colOff>284880</xdr:colOff>
      <xdr:row>30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8A3E2C4-FF2F-41A2-8DDB-1D23798C8C01}"/>
                </a:ext>
              </a:extLst>
            </xdr14:cNvPr>
            <xdr14:cNvContentPartPr/>
          </xdr14:nvContentPartPr>
          <xdr14:nvPr macro=""/>
          <xdr14:xfrm>
            <a:off x="8496000" y="2849400"/>
            <a:ext cx="3240" cy="32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1CAFAA0-F33B-479B-8C16-C1DCF00EB12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487000" y="2840760"/>
              <a:ext cx="2088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257990</xdr:colOff>
      <xdr:row>35</xdr:row>
      <xdr:rowOff>0</xdr:rowOff>
    </xdr:from>
    <xdr:to>
      <xdr:col>26</xdr:col>
      <xdr:colOff>114300</xdr:colOff>
      <xdr:row>79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2535DF-9FCF-41F4-8B37-BD2313C7E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8</xdr:col>
      <xdr:colOff>59266</xdr:colOff>
      <xdr:row>43</xdr:row>
      <xdr:rowOff>84666</xdr:rowOff>
    </xdr:from>
    <xdr:ext cx="1902509" cy="545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5ED2C71-A6B0-4EA0-A173-1E9A7E12A054}"/>
                </a:ext>
              </a:extLst>
            </xdr:cNvPr>
            <xdr:cNvSpPr txBox="1"/>
          </xdr:nvSpPr>
          <xdr:spPr>
            <a:xfrm>
              <a:off x="6871546" y="8192346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𝑅𝑎𝑑𝑖𝑢𝑠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sub>
                                    </m:s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5ED2C71-A6B0-4EA0-A173-1E9A7E12A054}"/>
                </a:ext>
              </a:extLst>
            </xdr:cNvPr>
            <xdr:cNvSpPr txBox="1"/>
          </xdr:nvSpPr>
          <xdr:spPr>
            <a:xfrm>
              <a:off x="6871546" y="8192346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𝑅𝑎𝑑𝑖𝑢𝑠=√(((𝐼_𝑥−𝐼_𝑦)/2)^2+𝐼_𝑥𝑦^2 )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50801</xdr:colOff>
      <xdr:row>40</xdr:row>
      <xdr:rowOff>237066</xdr:rowOff>
    </xdr:from>
    <xdr:ext cx="1727200" cy="4071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6073B6-69AF-4791-AA1C-F3C96990AD3D}"/>
                </a:ext>
              </a:extLst>
            </xdr:cNvPr>
            <xdr:cNvSpPr txBox="1"/>
          </xdr:nvSpPr>
          <xdr:spPr>
            <a:xfrm>
              <a:off x="6863081" y="7742766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𝐶𝑒𝑛𝑡𝑒𝑟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𝐴𝑉𝐺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6073B6-69AF-4791-AA1C-F3C96990AD3D}"/>
                </a:ext>
              </a:extLst>
            </xdr:cNvPr>
            <xdr:cNvSpPr txBox="1"/>
          </xdr:nvSpPr>
          <xdr:spPr>
            <a:xfrm>
              <a:off x="6863081" y="7742766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〖𝐶𝑒𝑛𝑡𝑒𝑟=𝐼〗_𝐴𝑉𝐺=(𝐼_𝑥+𝐼_𝑦)/2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8</xdr:col>
      <xdr:colOff>76201</xdr:colOff>
      <xdr:row>47</xdr:row>
      <xdr:rowOff>25400</xdr:rowOff>
    </xdr:from>
    <xdr:ext cx="1301318" cy="5499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4F62AFA-9BBE-46BC-9EEF-7B70E2014573}"/>
                </a:ext>
              </a:extLst>
            </xdr:cNvPr>
            <xdr:cNvSpPr txBox="1"/>
          </xdr:nvSpPr>
          <xdr:spPr>
            <a:xfrm>
              <a:off x="6888481" y="8925560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𝑡𝑎𝑛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4F62AFA-9BBE-46BC-9EEF-7B70E2014573}"/>
                </a:ext>
              </a:extLst>
            </xdr:cNvPr>
            <xdr:cNvSpPr txBox="1"/>
          </xdr:nvSpPr>
          <xdr:spPr>
            <a:xfrm>
              <a:off x="6888481" y="8925560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𝑡𝑎𝑛2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𝜃_</a:t>
              </a:r>
              <a:r>
                <a:rPr lang="en-US" sz="1200" b="0" i="0">
                  <a:latin typeface="Cambria Math" panose="02040503050406030204" pitchFamily="18" charset="0"/>
                </a:rPr>
                <a:t>𝑝=(−𝐼_𝑥𝑦)/(((𝐼_𝑥−𝐼_𝑦)/2) )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3</xdr:col>
      <xdr:colOff>59267</xdr:colOff>
      <xdr:row>54</xdr:row>
      <xdr:rowOff>77259</xdr:rowOff>
    </xdr:from>
    <xdr:ext cx="1485471" cy="261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352531E-C10D-42D0-AC50-24E7454289BA}"/>
                </a:ext>
              </a:extLst>
            </xdr:cNvPr>
            <xdr:cNvSpPr txBox="1"/>
          </xdr:nvSpPr>
          <xdr:spPr>
            <a:xfrm>
              <a:off x="2070947" y="10288059"/>
              <a:ext cx="1485471" cy="261938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𝑀𝐴𝑋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𝐴𝑉𝐺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𝑅𝑎𝑑𝑖𝑢𝑠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352531E-C10D-42D0-AC50-24E7454289BA}"/>
                </a:ext>
              </a:extLst>
            </xdr:cNvPr>
            <xdr:cNvSpPr txBox="1"/>
          </xdr:nvSpPr>
          <xdr:spPr>
            <a:xfrm>
              <a:off x="2070947" y="10288059"/>
              <a:ext cx="1485471" cy="261938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𝐼_𝑀𝐴𝑋=𝐼_𝐴𝑉𝐺+𝑅𝑎𝑑𝑖𝑢𝑠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244475</xdr:colOff>
      <xdr:row>54</xdr:row>
      <xdr:rowOff>67734</xdr:rowOff>
    </xdr:from>
    <xdr:ext cx="1485471" cy="261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16ACB8C-CA6A-4334-8FC1-27D15793B79E}"/>
                </a:ext>
              </a:extLst>
            </xdr:cNvPr>
            <xdr:cNvSpPr txBox="1"/>
          </xdr:nvSpPr>
          <xdr:spPr>
            <a:xfrm>
              <a:off x="4267835" y="10278534"/>
              <a:ext cx="1485471" cy="261938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𝑀𝐼𝑁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𝐴𝑉𝐺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𝑅𝑎𝑑𝑖𝑢𝑠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16ACB8C-CA6A-4334-8FC1-27D15793B79E}"/>
                </a:ext>
              </a:extLst>
            </xdr:cNvPr>
            <xdr:cNvSpPr txBox="1"/>
          </xdr:nvSpPr>
          <xdr:spPr>
            <a:xfrm>
              <a:off x="4267835" y="10278534"/>
              <a:ext cx="1485471" cy="261938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𝐼_𝑀𝐼𝑁=𝐼_𝐴𝑉𝐺−𝑅𝑎𝑑𝑖𝑢𝑠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9</xdr:col>
      <xdr:colOff>243840</xdr:colOff>
      <xdr:row>2</xdr:row>
      <xdr:rowOff>45721</xdr:rowOff>
    </xdr:from>
    <xdr:to>
      <xdr:col>24</xdr:col>
      <xdr:colOff>487680</xdr:colOff>
      <xdr:row>16</xdr:row>
      <xdr:rowOff>178419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64F9048-ACA7-4768-A11D-41082A2FC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-749" r="115" b="749"/>
        <a:stretch/>
      </xdr:blipFill>
      <xdr:spPr bwMode="auto">
        <a:xfrm>
          <a:off x="7940040" y="419101"/>
          <a:ext cx="10149840" cy="2792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129360</xdr:colOff>
      <xdr:row>23</xdr:row>
      <xdr:rowOff>30240</xdr:rowOff>
    </xdr:from>
    <xdr:to>
      <xdr:col>10</xdr:col>
      <xdr:colOff>129720</xdr:colOff>
      <xdr:row>23</xdr:row>
      <xdr:rowOff>30600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DF4442E-6D7B-4E03-BFC2-8C8DA877F23E}"/>
                </a:ext>
              </a:extLst>
            </xdr14:cNvPr>
            <xdr14:cNvContentPartPr/>
          </xdr14:nvContentPartPr>
          <xdr14:nvPr macro=""/>
          <xdr14:xfrm>
            <a:off x="6514920" y="10818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9902AB6-383D-4884-AB97-65E2A78755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05920" y="1073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90240</xdr:colOff>
      <xdr:row>21</xdr:row>
      <xdr:rowOff>144240</xdr:rowOff>
    </xdr:from>
    <xdr:to>
      <xdr:col>12</xdr:col>
      <xdr:colOff>144960</xdr:colOff>
      <xdr:row>21</xdr:row>
      <xdr:rowOff>164400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14D6119-534F-4BB6-9710-EE3E2C2177EF}"/>
                </a:ext>
              </a:extLst>
            </xdr14:cNvPr>
            <xdr14:cNvContentPartPr/>
          </xdr14:nvContentPartPr>
          <xdr14:nvPr macro=""/>
          <xdr14:xfrm>
            <a:off x="7695000" y="845280"/>
            <a:ext cx="54720" cy="201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7270283-00B9-4F66-A616-CDC2E103E95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686360" y="836640"/>
              <a:ext cx="7236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601560</xdr:colOff>
      <xdr:row>30</xdr:row>
      <xdr:rowOff>0</xdr:rowOff>
    </xdr:from>
    <xdr:to>
      <xdr:col>7</xdr:col>
      <xdr:colOff>601920</xdr:colOff>
      <xdr:row>30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6E435DE-D589-46DE-A19B-A4D93FA9AAC6}"/>
                </a:ext>
              </a:extLst>
            </xdr14:cNvPr>
            <xdr14:cNvContentPartPr/>
          </xdr14:nvContentPartPr>
          <xdr14:nvPr macro=""/>
          <xdr14:xfrm>
            <a:off x="4944960" y="1813320"/>
            <a:ext cx="360" cy="3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D373EDB-C03A-4A0C-A308-FB2C856E6D7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35960" y="1804680"/>
              <a:ext cx="1800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411240</xdr:colOff>
      <xdr:row>30</xdr:row>
      <xdr:rowOff>0</xdr:rowOff>
    </xdr:from>
    <xdr:to>
      <xdr:col>10</xdr:col>
      <xdr:colOff>411600</xdr:colOff>
      <xdr:row>30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D15A088-CD43-4A21-9F2C-3B0B7D9A53BE}"/>
                </a:ext>
              </a:extLst>
            </xdr14:cNvPr>
            <xdr14:cNvContentPartPr/>
          </xdr14:nvContentPartPr>
          <xdr14:nvPr macro=""/>
          <xdr14:xfrm>
            <a:off x="6796800" y="143964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73951D7-3A8F-4EE3-AA98-7D18B0BE3BC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87800" y="1431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281640</xdr:colOff>
      <xdr:row>30</xdr:row>
      <xdr:rowOff>0</xdr:rowOff>
    </xdr:from>
    <xdr:to>
      <xdr:col>13</xdr:col>
      <xdr:colOff>284880</xdr:colOff>
      <xdr:row>30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497CEE8-D97F-49E7-A551-B31C15093648}"/>
                </a:ext>
              </a:extLst>
            </xdr14:cNvPr>
            <xdr14:cNvContentPartPr/>
          </xdr14:nvContentPartPr>
          <xdr14:nvPr macro=""/>
          <xdr14:xfrm>
            <a:off x="8496000" y="2849400"/>
            <a:ext cx="3240" cy="32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1CAFAA0-F33B-479B-8C16-C1DCF00EB12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487000" y="2840760"/>
              <a:ext cx="2088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257990</xdr:colOff>
      <xdr:row>35</xdr:row>
      <xdr:rowOff>0</xdr:rowOff>
    </xdr:from>
    <xdr:to>
      <xdr:col>30</xdr:col>
      <xdr:colOff>60960</xdr:colOff>
      <xdr:row>87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15F64B-1B64-475F-846B-0E12711A7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8</xdr:col>
      <xdr:colOff>59266</xdr:colOff>
      <xdr:row>43</xdr:row>
      <xdr:rowOff>84666</xdr:rowOff>
    </xdr:from>
    <xdr:ext cx="1902509" cy="545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55E79F9-C3C1-4648-BF72-583F4E1CF793}"/>
                </a:ext>
              </a:extLst>
            </xdr:cNvPr>
            <xdr:cNvSpPr txBox="1"/>
          </xdr:nvSpPr>
          <xdr:spPr>
            <a:xfrm>
              <a:off x="6421966" y="6249246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𝑅𝑎𝑑𝑖𝑢𝑠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sub>
                                    </m:s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55E79F9-C3C1-4648-BF72-583F4E1CF793}"/>
                </a:ext>
              </a:extLst>
            </xdr:cNvPr>
            <xdr:cNvSpPr txBox="1"/>
          </xdr:nvSpPr>
          <xdr:spPr>
            <a:xfrm>
              <a:off x="6421966" y="6249246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𝑅𝑎𝑑𝑖𝑢𝑠=√(((𝐼_𝑥−𝐼_𝑦)/2)^2+𝐼_𝑥𝑦^2 )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50801</xdr:colOff>
      <xdr:row>40</xdr:row>
      <xdr:rowOff>237066</xdr:rowOff>
    </xdr:from>
    <xdr:ext cx="1727200" cy="4071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392D872-5ADA-4EFB-9AC4-86AB1F403222}"/>
                </a:ext>
              </a:extLst>
            </xdr:cNvPr>
            <xdr:cNvSpPr txBox="1"/>
          </xdr:nvSpPr>
          <xdr:spPr>
            <a:xfrm>
              <a:off x="6413501" y="5814906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𝐶𝑒𝑛𝑡𝑒𝑟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𝐴𝑉𝐺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392D872-5ADA-4EFB-9AC4-86AB1F403222}"/>
                </a:ext>
              </a:extLst>
            </xdr:cNvPr>
            <xdr:cNvSpPr txBox="1"/>
          </xdr:nvSpPr>
          <xdr:spPr>
            <a:xfrm>
              <a:off x="6413501" y="5814906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〖𝐶𝑒𝑛𝑡𝑒𝑟=𝐼〗_𝐴𝑉𝐺=(𝐼_𝑥+𝐼_𝑦)/2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8</xdr:col>
      <xdr:colOff>76201</xdr:colOff>
      <xdr:row>47</xdr:row>
      <xdr:rowOff>25400</xdr:rowOff>
    </xdr:from>
    <xdr:ext cx="1301318" cy="5499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B71167E-3DBC-4964-82A8-C26455E4531E}"/>
                </a:ext>
              </a:extLst>
            </xdr:cNvPr>
            <xdr:cNvSpPr txBox="1"/>
          </xdr:nvSpPr>
          <xdr:spPr>
            <a:xfrm>
              <a:off x="6438901" y="6982460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𝑡𝑎𝑛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B71167E-3DBC-4964-82A8-C26455E4531E}"/>
                </a:ext>
              </a:extLst>
            </xdr:cNvPr>
            <xdr:cNvSpPr txBox="1"/>
          </xdr:nvSpPr>
          <xdr:spPr>
            <a:xfrm>
              <a:off x="6438901" y="6982460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𝑡𝑎𝑛2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𝜃_</a:t>
              </a:r>
              <a:r>
                <a:rPr lang="en-US" sz="1200" b="0" i="0">
                  <a:latin typeface="Cambria Math" panose="02040503050406030204" pitchFamily="18" charset="0"/>
                </a:rPr>
                <a:t>𝑝=(−𝐼_𝑥𝑦)/(((𝐼_𝑥−𝐼_𝑦)/2) )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3</xdr:col>
      <xdr:colOff>59267</xdr:colOff>
      <xdr:row>54</xdr:row>
      <xdr:rowOff>77259</xdr:rowOff>
    </xdr:from>
    <xdr:ext cx="1485471" cy="261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CC501F0-7AF5-49A4-BB3F-A67A78F84249}"/>
                </a:ext>
              </a:extLst>
            </xdr:cNvPr>
            <xdr:cNvSpPr txBox="1"/>
          </xdr:nvSpPr>
          <xdr:spPr>
            <a:xfrm>
              <a:off x="1621367" y="8344959"/>
              <a:ext cx="1485471" cy="261938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𝑀𝐴𝑋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𝐴𝑉𝐺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𝑅𝑎𝑑𝑖𝑢𝑠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CC501F0-7AF5-49A4-BB3F-A67A78F84249}"/>
                </a:ext>
              </a:extLst>
            </xdr:cNvPr>
            <xdr:cNvSpPr txBox="1"/>
          </xdr:nvSpPr>
          <xdr:spPr>
            <a:xfrm>
              <a:off x="1621367" y="8344959"/>
              <a:ext cx="1485471" cy="261938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𝐼_𝑀𝐴𝑋=𝐼_𝐴𝑉𝐺+𝑅𝑎𝑑𝑖𝑢𝑠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244475</xdr:colOff>
      <xdr:row>54</xdr:row>
      <xdr:rowOff>67734</xdr:rowOff>
    </xdr:from>
    <xdr:ext cx="1485471" cy="261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A8A69DA-FAA1-4881-A0F1-14131832613A}"/>
                </a:ext>
              </a:extLst>
            </xdr:cNvPr>
            <xdr:cNvSpPr txBox="1"/>
          </xdr:nvSpPr>
          <xdr:spPr>
            <a:xfrm>
              <a:off x="3818255" y="8335434"/>
              <a:ext cx="1485471" cy="261938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𝑀𝐼𝑁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𝐴𝑉𝐺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𝑅𝑎𝑑𝑖𝑢𝑠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A8A69DA-FAA1-4881-A0F1-14131832613A}"/>
                </a:ext>
              </a:extLst>
            </xdr:cNvPr>
            <xdr:cNvSpPr txBox="1"/>
          </xdr:nvSpPr>
          <xdr:spPr>
            <a:xfrm>
              <a:off x="3818255" y="8335434"/>
              <a:ext cx="1485471" cy="261938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𝐼_𝑀𝐼𝑁=𝐼_𝐴𝑉𝐺−𝑅𝑎𝑑𝑖𝑢𝑠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9</xdr:col>
      <xdr:colOff>571500</xdr:colOff>
      <xdr:row>1</xdr:row>
      <xdr:rowOff>106680</xdr:rowOff>
    </xdr:from>
    <xdr:to>
      <xdr:col>25</xdr:col>
      <xdr:colOff>312420</xdr:colOff>
      <xdr:row>16</xdr:row>
      <xdr:rowOff>130875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3B29378-1553-4DD7-8645-82B55F78BB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6" r="-38"/>
        <a:stretch/>
      </xdr:blipFill>
      <xdr:spPr bwMode="auto">
        <a:xfrm>
          <a:off x="7993380" y="281940"/>
          <a:ext cx="9921240" cy="2881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601560</xdr:colOff>
      <xdr:row>30</xdr:row>
      <xdr:rowOff>0</xdr:rowOff>
    </xdr:from>
    <xdr:to>
      <xdr:col>7</xdr:col>
      <xdr:colOff>601920</xdr:colOff>
      <xdr:row>30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E006C94-AC34-43BD-A2A0-4593486A50D0}"/>
                </a:ext>
              </a:extLst>
            </xdr14:cNvPr>
            <xdr14:cNvContentPartPr/>
          </xdr14:nvContentPartPr>
          <xdr14:nvPr macro=""/>
          <xdr14:xfrm>
            <a:off x="4944960" y="1813320"/>
            <a:ext cx="360" cy="3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D373EDB-C03A-4A0C-A308-FB2C856E6D7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35960" y="1804680"/>
              <a:ext cx="18000" cy="20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5T14:01:24.2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5T14:01:24.2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152 1,'0'3,"-4"2,-8 0,-13-1,-28 13,-4 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5T14:01:24.2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1,'0'3,"0"2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5T14:01:24.2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5T14:01:24.2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1,'3'3,"2"2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4T13:54:50.3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4T13:54:50.3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152 1,'0'3,"-4"2,-8 0,-13-1,-28 13,-4 4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4T13:54:50.3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1,'0'3,"0"2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4T13:54:50.3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4T13:54:50.3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1,'3'3,"2"2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5T14:09:08.2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1,'0'3,"0"2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D0BA-9525-4264-AE40-7EF9253C705F}">
  <dimension ref="B2:Y167"/>
  <sheetViews>
    <sheetView tabSelected="1" topLeftCell="E38" zoomScale="90" zoomScaleNormal="90" workbookViewId="0">
      <selection activeCell="H5" sqref="H5"/>
    </sheetView>
  </sheetViews>
  <sheetFormatPr defaultColWidth="8.88671875" defaultRowHeight="13.8"/>
  <cols>
    <col min="1" max="1" width="3.33203125" style="2" customWidth="1"/>
    <col min="2" max="2" width="11.44140625" style="2" customWidth="1"/>
    <col min="3" max="3" width="14.5546875" style="2" customWidth="1"/>
    <col min="4" max="4" width="14" style="2" customWidth="1"/>
    <col min="5" max="6" width="15.33203125" style="2" customWidth="1"/>
    <col min="7" max="7" width="13.33203125" style="2" customWidth="1"/>
    <col min="8" max="8" width="16" style="2" customWidth="1"/>
    <col min="9" max="11" width="8.88671875" style="2"/>
    <col min="12" max="12" width="12.5546875" style="2" customWidth="1"/>
    <col min="13" max="13" width="11.44140625" style="2" customWidth="1"/>
    <col min="14" max="18" width="8.88671875" style="2"/>
    <col min="19" max="19" width="13.77734375" style="2" customWidth="1"/>
    <col min="20" max="16384" width="8.88671875" style="2"/>
  </cols>
  <sheetData>
    <row r="2" spans="2:25" ht="15.6">
      <c r="B2" s="26" t="s">
        <v>45</v>
      </c>
      <c r="C2" s="27"/>
      <c r="D2" s="27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2:25" ht="14.4">
      <c r="B3" s="27"/>
      <c r="C3" s="27"/>
      <c r="D3" s="27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2:25" ht="15">
      <c r="B4" s="28" t="s">
        <v>8</v>
      </c>
      <c r="C4" s="29" t="s">
        <v>26</v>
      </c>
      <c r="D4" s="48">
        <v>613300</v>
      </c>
      <c r="E4" s="4" t="s">
        <v>48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2:25" ht="15">
      <c r="B5" s="31"/>
      <c r="C5" s="29" t="s">
        <v>28</v>
      </c>
      <c r="D5" s="48">
        <v>1413000</v>
      </c>
      <c r="E5" s="4" t="s">
        <v>48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2:25" ht="15">
      <c r="B6" s="31"/>
      <c r="C6" s="29" t="s">
        <v>29</v>
      </c>
      <c r="D6" s="48">
        <v>700000</v>
      </c>
      <c r="E6" s="4" t="s">
        <v>48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2:25" ht="14.4">
      <c r="B7" s="32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2:25" ht="14.4">
      <c r="B8" s="3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2:25" ht="14.4">
      <c r="B9" s="33" t="s">
        <v>30</v>
      </c>
      <c r="C9" s="34"/>
      <c r="D9" s="34"/>
      <c r="E9" s="34"/>
      <c r="F9" s="34"/>
      <c r="G9" s="34"/>
      <c r="H9" s="34"/>
      <c r="I9" s="34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2:25" ht="16.2">
      <c r="B10"/>
      <c r="C10" s="35" t="s">
        <v>31</v>
      </c>
      <c r="D10" s="36">
        <v>-20</v>
      </c>
      <c r="E10"/>
      <c r="F10" s="37" t="s">
        <v>32</v>
      </c>
      <c r="G10"/>
      <c r="H10" s="49">
        <f>D4*COS(RADIANS(D10))^2+D5*SIN(RADIANS(D10))^2-2*D6*SIN(RADIANS(D10))*COS(RADIANS(D10))</f>
        <v>1156798.4561994541</v>
      </c>
      <c r="I10" s="4" t="s">
        <v>48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2:25" ht="16.2">
      <c r="B11"/>
      <c r="C11" s="39" t="s">
        <v>33</v>
      </c>
      <c r="D11" s="40">
        <f>D10+90</f>
        <v>70</v>
      </c>
      <c r="E11"/>
      <c r="F11" s="37" t="s">
        <v>34</v>
      </c>
      <c r="G11"/>
      <c r="H11" s="49">
        <f>D4*COS(RADIANS(D11))^2+D5*SIN(RADIANS(D11))^2-2*D6*SIN(RADIANS(D11))*COS(RADIANS(D11))</f>
        <v>869501.54380054539</v>
      </c>
      <c r="I11" s="4" t="s">
        <v>48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2:25" ht="15">
      <c r="B12"/>
      <c r="C12" s="39"/>
      <c r="D12" s="40"/>
      <c r="E12"/>
      <c r="F12" s="41" t="s">
        <v>35</v>
      </c>
      <c r="G12"/>
      <c r="H12" s="49">
        <f>((D4-D5)/2)*SIN(2*RADIANS(D10))+D6*COS(2*RADIANS(D10))</f>
        <v>793249.73591644736</v>
      </c>
      <c r="I12" s="4" t="s">
        <v>48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2:25" ht="14.4">
      <c r="B13"/>
      <c r="C13"/>
      <c r="D13"/>
      <c r="E13"/>
      <c r="F13"/>
      <c r="G13"/>
      <c r="H13"/>
      <c r="I13"/>
      <c r="J13"/>
      <c r="K13" s="50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2:25" ht="14.4">
      <c r="B14" s="33" t="s">
        <v>36</v>
      </c>
      <c r="C14" s="34"/>
      <c r="D14" s="34"/>
      <c r="E14" s="34"/>
      <c r="F14" s="34"/>
      <c r="G14" s="34"/>
      <c r="H14" s="34"/>
      <c r="I14" s="3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2:25" ht="14.4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2:25" ht="16.2">
      <c r="B16"/>
      <c r="C16" s="35" t="s">
        <v>31</v>
      </c>
      <c r="D16" s="36">
        <v>57.113872709454732</v>
      </c>
      <c r="E16"/>
      <c r="F16" s="37" t="s">
        <v>37</v>
      </c>
      <c r="G16"/>
      <c r="H16" s="49">
        <f>D4*COS(RADIANS(D16))^2+D5*SIN(RADIANS(D16))^2-2*D6*SIN(RADIANS(D16))*COS(RADIANS(D16))</f>
        <v>538889.26375597215</v>
      </c>
      <c r="I16" s="4" t="s">
        <v>48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2:25" ht="16.2">
      <c r="B17"/>
      <c r="C17" s="39" t="s">
        <v>33</v>
      </c>
      <c r="D17" s="40">
        <f>D16+90</f>
        <v>147.11387270945474</v>
      </c>
      <c r="E17"/>
      <c r="F17" s="37" t="s">
        <v>34</v>
      </c>
      <c r="G17"/>
      <c r="H17" s="49">
        <f>D4*COS(RADIANS(D17))^2+D5*SIN(RADIANS(D17))^2-2*D6*SIN(RADIANS(D17))*COS(RADIANS(D17))</f>
        <v>1487410.7362440282</v>
      </c>
      <c r="I17" s="4" t="s">
        <v>48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2:25" ht="15">
      <c r="B18"/>
      <c r="C18"/>
      <c r="D18"/>
      <c r="E18"/>
      <c r="F18" s="41" t="s">
        <v>35</v>
      </c>
      <c r="G18"/>
      <c r="H18" s="49">
        <f>((D4-D5)/2)*SIN(2*RADIANS(D16))+D6*COS(2*RADIANS(D16))</f>
        <v>-651887.08881007333</v>
      </c>
      <c r="I18" s="4" t="s">
        <v>48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2:25" ht="14.4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2:25" ht="14.4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2:25" ht="14.4">
      <c r="B21" s="33" t="s">
        <v>38</v>
      </c>
      <c r="C21" s="34"/>
      <c r="D21" s="34"/>
      <c r="E21" s="34"/>
      <c r="F21" s="34"/>
      <c r="G21" s="34"/>
      <c r="H21" s="34"/>
      <c r="I21" s="34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2:25" ht="15">
      <c r="B22"/>
      <c r="C22" s="35"/>
      <c r="D22" s="35"/>
      <c r="E22" s="35"/>
      <c r="F22" s="42" t="s">
        <v>39</v>
      </c>
      <c r="G22"/>
      <c r="H22" s="49">
        <f>(D4+D5)/2</f>
        <v>1013150</v>
      </c>
      <c r="I22" s="4" t="s">
        <v>48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2:25" ht="14.4">
      <c r="B23"/>
      <c r="C23" s="39"/>
      <c r="D23" s="40"/>
      <c r="E23"/>
      <c r="F23" s="42" t="s">
        <v>3</v>
      </c>
      <c r="G23"/>
      <c r="H23" s="49">
        <f>(D4-D5)/2</f>
        <v>-399850</v>
      </c>
      <c r="I23" s="4" t="s">
        <v>48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2:25" ht="14.4">
      <c r="B24"/>
      <c r="C24" s="39"/>
      <c r="D24" s="40"/>
      <c r="E24"/>
      <c r="F24" s="42" t="s">
        <v>0</v>
      </c>
      <c r="G24"/>
      <c r="H24" s="49">
        <f>SQRT((H23^2+D6^2))</f>
        <v>806151.36450917204</v>
      </c>
      <c r="I24" s="4" t="s">
        <v>48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2:25" ht="15">
      <c r="B25"/>
      <c r="C25"/>
      <c r="D25"/>
      <c r="E25"/>
      <c r="F25" s="42" t="s">
        <v>40</v>
      </c>
      <c r="G25"/>
      <c r="H25" s="49">
        <f>H24+H22</f>
        <v>1819301.364509172</v>
      </c>
      <c r="I25" s="4" t="s">
        <v>49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2:25" ht="15">
      <c r="B26"/>
      <c r="C26"/>
      <c r="D26"/>
      <c r="E26"/>
      <c r="F26" s="42" t="s">
        <v>41</v>
      </c>
      <c r="G26"/>
      <c r="H26" s="49">
        <f>H22-H24</f>
        <v>206998.63549082796</v>
      </c>
      <c r="I26" s="4" t="s">
        <v>49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2:25" ht="15">
      <c r="B27"/>
      <c r="C27"/>
      <c r="D27"/>
      <c r="E27"/>
      <c r="F27" s="43" t="s">
        <v>42</v>
      </c>
      <c r="G27"/>
      <c r="H27" s="44">
        <f>0.5*DEGREES(ATAN(-D6/(H23)))</f>
        <v>30.132187514741286</v>
      </c>
      <c r="I27" s="4" t="s">
        <v>43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2:25" ht="16.2">
      <c r="B28"/>
      <c r="C28"/>
      <c r="D28"/>
      <c r="E28"/>
      <c r="F28" s="37" t="s">
        <v>44</v>
      </c>
      <c r="G28"/>
      <c r="H28" s="49">
        <f>D4*COS(RADIANS(H27))^2+D5*SIN(RADIANS(H27))^2-2*D6*SIN(RADIANS(H27))*COS(RADIANS(H27))</f>
        <v>206998.63549082796</v>
      </c>
      <c r="I28" s="4" t="s">
        <v>49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2:25" ht="14.4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2:25" ht="14.4">
      <c r="B30" s="33" t="s">
        <v>47</v>
      </c>
      <c r="C30" s="34"/>
      <c r="D30" s="34"/>
      <c r="E30" s="34"/>
      <c r="F30" s="34"/>
      <c r="G30" s="34"/>
      <c r="H30" s="34"/>
      <c r="I30" s="34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2:25" ht="14.4">
      <c r="B31" s="52" t="s">
        <v>50</v>
      </c>
      <c r="C31" s="53"/>
      <c r="D31" s="53"/>
      <c r="E31" s="53"/>
      <c r="F31" s="53"/>
      <c r="G31" s="53"/>
      <c r="H31" s="53"/>
      <c r="I31" s="53"/>
    </row>
    <row r="32" spans="2:25">
      <c r="B32" s="9"/>
      <c r="C32" s="41" t="s">
        <v>8</v>
      </c>
      <c r="D32" s="5" t="s">
        <v>9</v>
      </c>
      <c r="E32" s="8">
        <f>D4</f>
        <v>613300</v>
      </c>
      <c r="F32" s="8">
        <f>D6</f>
        <v>700000</v>
      </c>
      <c r="G32" s="4" t="s">
        <v>48</v>
      </c>
      <c r="H32" s="10"/>
      <c r="I32" s="10"/>
      <c r="J32" s="10"/>
      <c r="K32" s="10"/>
      <c r="L32" s="10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2:24">
      <c r="B33" s="9"/>
      <c r="C33" s="9"/>
      <c r="D33" s="5" t="s">
        <v>10</v>
      </c>
      <c r="E33" s="8">
        <f>D5</f>
        <v>1413000</v>
      </c>
      <c r="F33" s="8">
        <f>-D6</f>
        <v>-700000</v>
      </c>
      <c r="G33" s="4" t="s">
        <v>48</v>
      </c>
      <c r="H33" s="10"/>
      <c r="I33" s="10"/>
      <c r="J33" s="10"/>
      <c r="K33" s="10"/>
      <c r="L33" s="10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>
      <c r="B34" s="9"/>
      <c r="C34" s="9"/>
      <c r="D34" s="5" t="s">
        <v>11</v>
      </c>
      <c r="E34" s="8">
        <f>D6</f>
        <v>700000</v>
      </c>
      <c r="F34" s="4" t="s">
        <v>48</v>
      </c>
      <c r="H34" s="10"/>
      <c r="I34" s="10"/>
      <c r="J34" s="10"/>
      <c r="K34" s="10"/>
      <c r="L34" s="10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2:24">
      <c r="B35" s="9"/>
      <c r="C35" s="9"/>
      <c r="D35" s="9"/>
      <c r="E35" s="7"/>
      <c r="F35" s="7"/>
      <c r="G35" s="9"/>
      <c r="H35" s="10"/>
      <c r="I35" s="10"/>
      <c r="J35" s="10"/>
      <c r="K35" s="10"/>
      <c r="L35" s="10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2:24" ht="15.6">
      <c r="B36" s="9"/>
      <c r="C36" s="9"/>
      <c r="D36" s="6" t="s">
        <v>12</v>
      </c>
      <c r="E36" s="54">
        <f>D10</f>
        <v>-20</v>
      </c>
      <c r="F36" s="7" t="s">
        <v>51</v>
      </c>
      <c r="G36" s="9"/>
      <c r="H36" s="10"/>
      <c r="I36" s="10"/>
      <c r="J36" s="10"/>
      <c r="K36" s="10"/>
      <c r="L36" s="10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2:24">
      <c r="B37" s="9"/>
      <c r="C37" s="9"/>
      <c r="D37" s="9"/>
      <c r="E37" s="9"/>
      <c r="F37" s="9"/>
      <c r="G37" s="9"/>
      <c r="H37" s="10"/>
      <c r="I37" s="1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2:24">
      <c r="B38" s="9"/>
      <c r="C38" s="9"/>
      <c r="D38" s="9"/>
      <c r="E38" s="9"/>
      <c r="F38" s="9"/>
      <c r="G38" s="9"/>
      <c r="H38" s="10"/>
      <c r="I38" s="10"/>
      <c r="J38" s="10"/>
      <c r="K38" s="10"/>
      <c r="L38" s="11"/>
      <c r="M38" s="1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2:24">
      <c r="B39" s="9"/>
      <c r="C39" s="41" t="s">
        <v>1</v>
      </c>
      <c r="D39" s="9"/>
      <c r="E39" s="5" t="s">
        <v>2</v>
      </c>
      <c r="F39" s="8">
        <f>(E32+E33)/2</f>
        <v>1013150</v>
      </c>
      <c r="G39" s="4" t="s">
        <v>48</v>
      </c>
      <c r="H39" s="10"/>
      <c r="I39" s="10"/>
      <c r="J39" s="10"/>
      <c r="K39" s="10"/>
      <c r="L39" s="10"/>
      <c r="M39" s="1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2:24">
      <c r="B40" s="9"/>
      <c r="C40" s="9"/>
      <c r="D40" s="9"/>
      <c r="E40" s="5" t="s">
        <v>3</v>
      </c>
      <c r="F40" s="8">
        <f>(E32-E33)/2</f>
        <v>-399850</v>
      </c>
      <c r="G40" s="4" t="s">
        <v>48</v>
      </c>
      <c r="H40" s="10"/>
      <c r="I40" s="10"/>
      <c r="J40" s="10"/>
      <c r="K40" s="10"/>
      <c r="L40" s="10"/>
      <c r="M40" s="1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2:24" ht="15.6">
      <c r="B41" s="9"/>
      <c r="C41" s="9"/>
      <c r="D41" s="9"/>
      <c r="E41" s="6" t="s">
        <v>13</v>
      </c>
      <c r="F41" s="14">
        <f>E36+90</f>
        <v>70</v>
      </c>
      <c r="G41" s="9"/>
      <c r="H41" s="10"/>
      <c r="I41" s="10"/>
      <c r="J41" s="10"/>
      <c r="K41" s="10"/>
      <c r="L41" s="10"/>
      <c r="M41" s="1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2:24"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2:24" ht="15">
      <c r="B43" s="9"/>
      <c r="C43" s="41" t="s">
        <v>46</v>
      </c>
      <c r="D43" s="9"/>
      <c r="E43" s="9"/>
      <c r="F43" s="9"/>
      <c r="G43" s="9"/>
      <c r="H43" s="10"/>
      <c r="I43" s="10"/>
      <c r="J43" s="10"/>
      <c r="K43" s="10"/>
      <c r="L43" s="10"/>
      <c r="M43" s="1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2:24">
      <c r="B44" s="9"/>
      <c r="C44" s="9"/>
      <c r="D44" s="5" t="s">
        <v>7</v>
      </c>
      <c r="E44" s="8">
        <f>$F$39+$F$40*COS(2*RADIANS($E$36))-E34*SIN(2*RADIANS($E$36))</f>
        <v>1156798.4561994541</v>
      </c>
      <c r="F44" s="51">
        <f>E46</f>
        <v>793249.73591644736</v>
      </c>
      <c r="G44" s="4" t="s">
        <v>48</v>
      </c>
      <c r="H44" s="10"/>
      <c r="I44" s="10"/>
      <c r="J44" s="10"/>
      <c r="K44" s="10"/>
      <c r="L44" s="10"/>
      <c r="M44" s="1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2:24">
      <c r="B45" s="9"/>
      <c r="C45" s="9"/>
      <c r="D45" s="5" t="s">
        <v>14</v>
      </c>
      <c r="E45" s="8">
        <f>$F$39-$F$40*COS(2*RADIANS($E$36))+E34*SIN(2*RADIANS($E$36))</f>
        <v>869501.54380054586</v>
      </c>
      <c r="F45" s="51">
        <f>-E46</f>
        <v>-793249.73591644736</v>
      </c>
      <c r="G45" s="4" t="s">
        <v>48</v>
      </c>
      <c r="H45" s="10"/>
      <c r="I45" s="10"/>
      <c r="J45" s="10"/>
      <c r="K45" s="10"/>
      <c r="L45" s="10"/>
      <c r="M45" s="1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2:24" ht="16.2">
      <c r="B46" s="9"/>
      <c r="C46" s="9"/>
      <c r="D46" s="5" t="s">
        <v>15</v>
      </c>
      <c r="E46" s="8">
        <f>$E$34*COS(2*RADIANS($E$36))+$F$40*SIN(2*RADIANS($E$36))</f>
        <v>793249.73591644736</v>
      </c>
      <c r="F46" s="1" t="s">
        <v>24</v>
      </c>
      <c r="G46" s="9"/>
      <c r="H46" s="10"/>
      <c r="I46" s="10"/>
      <c r="J46" s="10"/>
      <c r="K46" s="10"/>
      <c r="L46" s="10"/>
      <c r="M46" s="1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2:24">
      <c r="B47" s="9"/>
      <c r="C47" s="9"/>
      <c r="D47" s="9"/>
      <c r="E47" s="9"/>
      <c r="F47" s="9"/>
      <c r="G47" s="9"/>
      <c r="H47" s="10"/>
      <c r="I47" s="10"/>
      <c r="J47" s="10"/>
      <c r="K47" s="10"/>
      <c r="L47" s="10"/>
      <c r="M47" s="1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2:24">
      <c r="B48" s="9"/>
      <c r="C48" s="41" t="s">
        <v>4</v>
      </c>
      <c r="D48" s="9"/>
      <c r="E48" s="15" t="s">
        <v>5</v>
      </c>
      <c r="F48" s="5" t="s">
        <v>2</v>
      </c>
      <c r="G48" s="8">
        <f>F39</f>
        <v>1013150</v>
      </c>
      <c r="H48" s="16">
        <v>0</v>
      </c>
      <c r="I48" s="10"/>
      <c r="J48" s="10"/>
      <c r="K48" s="10"/>
      <c r="L48" s="10"/>
      <c r="M48" s="1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2:24">
      <c r="B49" s="9"/>
      <c r="C49" s="9"/>
      <c r="D49" s="9"/>
      <c r="E49" s="15" t="s">
        <v>0</v>
      </c>
      <c r="F49" s="5"/>
      <c r="G49" s="8">
        <f>(F40^2+E34^2)^0.5</f>
        <v>806151.36450917204</v>
      </c>
      <c r="H49" s="10"/>
      <c r="I49" s="10"/>
      <c r="J49" s="10"/>
      <c r="K49" s="10"/>
      <c r="L49" s="10"/>
      <c r="M49" s="1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2:24">
      <c r="B50" s="9"/>
      <c r="C50" s="9"/>
      <c r="D50" s="9"/>
      <c r="E50" s="9"/>
      <c r="F50" s="9"/>
      <c r="G50" s="9"/>
      <c r="H50" s="10"/>
      <c r="I50" s="10"/>
      <c r="J50" s="10"/>
      <c r="K50" s="10"/>
      <c r="L50" s="10"/>
      <c r="M50" s="1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2:24">
      <c r="B51" s="9"/>
      <c r="C51" s="9"/>
      <c r="D51" s="9"/>
      <c r="E51" s="15" t="s">
        <v>16</v>
      </c>
      <c r="F51" s="8">
        <f>G48+G49</f>
        <v>1819301.364509172</v>
      </c>
      <c r="G51" s="4" t="s">
        <v>48</v>
      </c>
      <c r="H51" s="10"/>
      <c r="I51" s="10"/>
      <c r="J51" s="10"/>
      <c r="K51" s="10"/>
      <c r="L51" s="10"/>
      <c r="M51" s="1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2:24">
      <c r="B52" s="9"/>
      <c r="C52" s="9"/>
      <c r="D52" s="9"/>
      <c r="E52" s="15" t="s">
        <v>17</v>
      </c>
      <c r="F52" s="8">
        <f>G48-G49</f>
        <v>206998.63549082796</v>
      </c>
      <c r="G52" s="4" t="s">
        <v>48</v>
      </c>
      <c r="H52" s="10"/>
      <c r="I52" s="10"/>
      <c r="J52" s="10"/>
      <c r="K52" s="10"/>
      <c r="L52" s="10"/>
      <c r="M52" s="1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2:24" ht="15.6">
      <c r="B53" s="9"/>
      <c r="C53" s="9"/>
      <c r="D53" s="9"/>
      <c r="E53" s="6" t="s">
        <v>6</v>
      </c>
      <c r="F53" s="8">
        <f>0.5*ATAN(-E34/(F40+0.001))*180/PI()</f>
        <v>30.132187545598558</v>
      </c>
      <c r="G53" s="9"/>
      <c r="H53" s="10"/>
      <c r="I53" s="10"/>
      <c r="J53" s="3" t="s">
        <v>18</v>
      </c>
      <c r="K53" s="10"/>
      <c r="L53" s="10"/>
      <c r="M53" s="1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2:24">
      <c r="B54" s="9"/>
      <c r="C54" s="9"/>
      <c r="D54" s="9"/>
      <c r="E54" s="9"/>
      <c r="F54" s="9"/>
      <c r="G54" s="9"/>
      <c r="H54" s="10"/>
      <c r="I54" s="10"/>
      <c r="J54" s="17"/>
      <c r="K54" s="18" t="s">
        <v>19</v>
      </c>
      <c r="L54" s="19"/>
      <c r="M54" s="2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2:24">
      <c r="B55" s="9"/>
      <c r="C55" s="9"/>
      <c r="D55" s="9"/>
      <c r="E55" s="9"/>
      <c r="F55" s="9"/>
      <c r="G55" s="9"/>
      <c r="H55" s="10"/>
      <c r="I55" s="10"/>
      <c r="J55" s="21" t="s">
        <v>20</v>
      </c>
      <c r="K55" s="22" t="s">
        <v>21</v>
      </c>
      <c r="L55" s="23" t="s">
        <v>22</v>
      </c>
      <c r="M55" s="22" t="s">
        <v>23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2:24">
      <c r="B56" s="9"/>
      <c r="C56" s="9"/>
      <c r="D56" s="9"/>
      <c r="E56" s="9"/>
      <c r="F56" s="9"/>
      <c r="G56" s="9"/>
      <c r="H56" s="10"/>
      <c r="I56" s="10"/>
      <c r="J56" s="10">
        <v>1</v>
      </c>
      <c r="K56" s="10">
        <v>0</v>
      </c>
      <c r="L56" s="24">
        <f>F51</f>
        <v>1819301.364509172</v>
      </c>
      <c r="M56" s="25">
        <f>$G$49*SIN(RADIANS(K56))</f>
        <v>0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2:24">
      <c r="B57" s="9"/>
      <c r="C57" s="9"/>
      <c r="D57" s="9"/>
      <c r="E57" s="9"/>
      <c r="F57" s="9"/>
      <c r="G57" s="9"/>
      <c r="H57" s="10"/>
      <c r="I57" s="10"/>
      <c r="J57" s="10">
        <v>2</v>
      </c>
      <c r="K57" s="10">
        <v>5</v>
      </c>
      <c r="L57" s="24">
        <f>$G$48+$G$49*COS(RADIANS(K57))</f>
        <v>1816233.7151834634</v>
      </c>
      <c r="M57" s="25">
        <f>$G$49*SIN(RADIANS(K57))</f>
        <v>70260.720940835003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2:24">
      <c r="B58" s="9"/>
      <c r="C58" s="9"/>
      <c r="D58" s="9"/>
      <c r="E58" s="9"/>
      <c r="F58" s="9"/>
      <c r="G58" s="9"/>
      <c r="H58" s="10"/>
      <c r="I58" s="10"/>
      <c r="J58" s="10">
        <v>3</v>
      </c>
      <c r="K58" s="10">
        <v>10</v>
      </c>
      <c r="L58" s="24">
        <f t="shared" ref="L58:L121" si="0">$G$48+$G$49*COS(RADIANS(K58))</f>
        <v>1807054.1138700033</v>
      </c>
      <c r="M58" s="25">
        <f t="shared" ref="M58:M121" si="1">$G$49*SIN(RADIANS(K58))</f>
        <v>139986.71537072703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2:24">
      <c r="B59" s="9"/>
      <c r="C59" s="9"/>
      <c r="D59" s="9"/>
      <c r="E59" s="9"/>
      <c r="F59" s="9"/>
      <c r="G59" s="9"/>
      <c r="H59" s="10"/>
      <c r="I59" s="10"/>
      <c r="J59" s="10">
        <v>4</v>
      </c>
      <c r="K59" s="10">
        <v>15</v>
      </c>
      <c r="L59" s="24">
        <f t="shared" si="0"/>
        <v>1791832.4228775818</v>
      </c>
      <c r="M59" s="25">
        <f t="shared" si="1"/>
        <v>208647.32637035803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2:24">
      <c r="B60" s="9"/>
      <c r="C60" s="9"/>
      <c r="D60" s="9"/>
      <c r="E60" s="9"/>
      <c r="F60" s="9"/>
      <c r="G60" s="9"/>
      <c r="H60" s="10"/>
      <c r="I60" s="10"/>
      <c r="J60" s="10">
        <v>5</v>
      </c>
      <c r="K60" s="10">
        <v>20</v>
      </c>
      <c r="L60" s="24">
        <f t="shared" si="0"/>
        <v>1770684.4884657599</v>
      </c>
      <c r="M60" s="25">
        <f t="shared" si="1"/>
        <v>275720.00523161044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2:24">
      <c r="B61" s="9"/>
      <c r="C61" s="9"/>
      <c r="D61" s="9"/>
      <c r="E61" s="9"/>
      <c r="F61" s="9"/>
      <c r="G61" s="9"/>
      <c r="H61" s="10"/>
      <c r="I61" s="10"/>
      <c r="J61" s="10">
        <v>6</v>
      </c>
      <c r="K61" s="10">
        <v>25</v>
      </c>
      <c r="L61" s="24">
        <f t="shared" si="0"/>
        <v>1743771.2591848834</v>
      </c>
      <c r="M61" s="25">
        <f t="shared" si="1"/>
        <v>340694.28836875927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2:24">
      <c r="B62" s="9"/>
      <c r="C62" s="9"/>
      <c r="D62" s="9"/>
      <c r="E62" s="9"/>
      <c r="F62" s="9"/>
      <c r="G62" s="9"/>
      <c r="H62" s="10"/>
      <c r="I62" s="10"/>
      <c r="J62" s="10">
        <v>7</v>
      </c>
      <c r="K62" s="10">
        <v>30</v>
      </c>
      <c r="L62" s="24">
        <f t="shared" si="0"/>
        <v>1711297.560960432</v>
      </c>
      <c r="M62" s="25">
        <f t="shared" si="1"/>
        <v>403075.68225458596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2:24">
      <c r="B63" s="9"/>
      <c r="C63" s="9"/>
      <c r="D63" s="9"/>
      <c r="E63" s="9"/>
      <c r="F63" s="9"/>
      <c r="G63" s="9"/>
      <c r="H63" s="10"/>
      <c r="I63" s="10"/>
      <c r="J63" s="10">
        <v>8</v>
      </c>
      <c r="K63" s="10">
        <v>35</v>
      </c>
      <c r="L63" s="24">
        <f t="shared" si="0"/>
        <v>1673510.5382440486</v>
      </c>
      <c r="M63" s="25">
        <f t="shared" si="1"/>
        <v>462389.42681470403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2:24">
      <c r="B64" s="9"/>
      <c r="C64" s="9"/>
      <c r="D64" s="9"/>
      <c r="E64" s="9"/>
      <c r="F64" s="9"/>
      <c r="G64" s="9"/>
      <c r="H64" s="10"/>
      <c r="I64" s="10"/>
      <c r="J64" s="10">
        <v>9</v>
      </c>
      <c r="K64" s="10">
        <v>40</v>
      </c>
      <c r="L64" s="24">
        <f t="shared" si="0"/>
        <v>1630697.7730950329</v>
      </c>
      <c r="M64" s="25">
        <f t="shared" si="1"/>
        <v>518184.1086383927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2:24">
      <c r="B65" s="9"/>
      <c r="C65" s="9"/>
      <c r="D65" s="9"/>
      <c r="E65" s="9"/>
      <c r="F65" s="9"/>
      <c r="G65" s="9"/>
      <c r="H65" s="10"/>
      <c r="I65" s="10"/>
      <c r="J65" s="10">
        <v>10</v>
      </c>
      <c r="K65" s="10">
        <v>45</v>
      </c>
      <c r="L65" s="24">
        <f t="shared" si="0"/>
        <v>1583185.0965072238</v>
      </c>
      <c r="M65" s="25">
        <f t="shared" si="1"/>
        <v>570035.09650722379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2:24">
      <c r="B66" s="9"/>
      <c r="C66" s="9"/>
      <c r="D66" s="9"/>
      <c r="E66" s="9"/>
      <c r="F66" s="9"/>
      <c r="G66" s="9"/>
      <c r="H66" s="10"/>
      <c r="I66" s="10"/>
      <c r="J66" s="10">
        <v>11</v>
      </c>
      <c r="K66" s="10">
        <v>50</v>
      </c>
      <c r="L66" s="24">
        <f t="shared" si="0"/>
        <v>1531334.1086383928</v>
      </c>
      <c r="M66" s="25">
        <f t="shared" si="1"/>
        <v>617547.7730950329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2:24">
      <c r="B67" s="9"/>
      <c r="C67" s="9"/>
      <c r="D67" s="9"/>
      <c r="E67" s="9"/>
      <c r="F67" s="9"/>
      <c r="G67" s="9"/>
      <c r="H67" s="10"/>
      <c r="I67" s="10"/>
      <c r="J67" s="10">
        <v>12</v>
      </c>
      <c r="K67" s="10">
        <v>55</v>
      </c>
      <c r="L67" s="24">
        <f t="shared" si="0"/>
        <v>1475539.4268147042</v>
      </c>
      <c r="M67" s="25">
        <f t="shared" si="1"/>
        <v>660360.53824404848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2:24">
      <c r="B68" s="9"/>
      <c r="C68" s="9"/>
      <c r="D68" s="9"/>
      <c r="E68" s="9"/>
      <c r="F68" s="9"/>
      <c r="G68" s="9"/>
      <c r="H68" s="10"/>
      <c r="I68" s="10"/>
      <c r="J68" s="10">
        <v>13</v>
      </c>
      <c r="K68" s="10">
        <v>60</v>
      </c>
      <c r="L68" s="24">
        <f t="shared" si="0"/>
        <v>1416225.6822545861</v>
      </c>
      <c r="M68" s="25">
        <f t="shared" si="1"/>
        <v>698147.56096043182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2:24">
      <c r="B69" s="9"/>
      <c r="C69" s="9"/>
      <c r="D69" s="9"/>
      <c r="E69" s="9"/>
      <c r="F69" s="9"/>
      <c r="G69" s="9"/>
      <c r="H69" s="10"/>
      <c r="I69" s="10"/>
      <c r="J69" s="10">
        <v>14</v>
      </c>
      <c r="K69" s="10">
        <v>65</v>
      </c>
      <c r="L69" s="24">
        <f t="shared" si="0"/>
        <v>1353844.2883687592</v>
      </c>
      <c r="M69" s="25">
        <f t="shared" si="1"/>
        <v>730621.25918488344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2:24">
      <c r="B70" s="9"/>
      <c r="C70" s="9"/>
      <c r="D70" s="9"/>
      <c r="E70" s="9"/>
      <c r="F70" s="9"/>
      <c r="G70" s="9"/>
      <c r="H70" s="10"/>
      <c r="I70" s="10"/>
      <c r="J70" s="10">
        <v>15</v>
      </c>
      <c r="K70" s="10">
        <v>70</v>
      </c>
      <c r="L70" s="24">
        <f t="shared" si="0"/>
        <v>1288870.0052316105</v>
      </c>
      <c r="M70" s="25">
        <f t="shared" si="1"/>
        <v>757534.4884657599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2:24">
      <c r="B71" s="9"/>
      <c r="C71" s="9"/>
      <c r="D71" s="9"/>
      <c r="E71" s="9"/>
      <c r="F71" s="9"/>
      <c r="G71" s="9"/>
      <c r="H71" s="10"/>
      <c r="I71" s="10"/>
      <c r="J71" s="10">
        <v>16</v>
      </c>
      <c r="K71" s="10">
        <v>75</v>
      </c>
      <c r="L71" s="24">
        <f t="shared" si="0"/>
        <v>1221797.326370358</v>
      </c>
      <c r="M71" s="25">
        <f t="shared" si="1"/>
        <v>778682.42287758191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2:24">
      <c r="B72" s="9"/>
      <c r="C72" s="9"/>
      <c r="D72" s="9"/>
      <c r="E72" s="9"/>
      <c r="F72" s="9"/>
      <c r="G72" s="9"/>
      <c r="H72" s="10"/>
      <c r="I72" s="10"/>
      <c r="J72" s="10">
        <v>17</v>
      </c>
      <c r="K72" s="10">
        <v>80</v>
      </c>
      <c r="L72" s="24">
        <f t="shared" si="0"/>
        <v>1153136.715370727</v>
      </c>
      <c r="M72" s="25">
        <f t="shared" si="1"/>
        <v>793904.11387000314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2:24">
      <c r="B73" s="9"/>
      <c r="C73" s="9"/>
      <c r="D73" s="9"/>
      <c r="E73" s="9"/>
      <c r="F73" s="9"/>
      <c r="G73" s="9"/>
      <c r="H73" s="10"/>
      <c r="I73" s="10"/>
      <c r="J73" s="10">
        <v>18</v>
      </c>
      <c r="K73" s="10">
        <v>85</v>
      </c>
      <c r="L73" s="24">
        <f t="shared" si="0"/>
        <v>1083410.7209408351</v>
      </c>
      <c r="M73" s="25">
        <f t="shared" si="1"/>
        <v>803083.7151834633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2:24">
      <c r="B74" s="9"/>
      <c r="C74" s="9"/>
      <c r="D74" s="9"/>
      <c r="E74" s="9"/>
      <c r="F74" s="9"/>
      <c r="G74" s="9"/>
      <c r="H74" s="10"/>
      <c r="I74" s="10"/>
      <c r="J74" s="10">
        <v>19</v>
      </c>
      <c r="K74" s="10">
        <v>90</v>
      </c>
      <c r="L74" s="24">
        <f t="shared" si="0"/>
        <v>1013150</v>
      </c>
      <c r="M74" s="25">
        <f t="shared" si="1"/>
        <v>806151.36450917204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2:24">
      <c r="B75" s="9"/>
      <c r="C75" s="9"/>
      <c r="D75" s="9"/>
      <c r="E75" s="9"/>
      <c r="F75" s="9"/>
      <c r="G75" s="9"/>
      <c r="H75" s="10"/>
      <c r="I75" s="10"/>
      <c r="J75" s="10">
        <v>20</v>
      </c>
      <c r="K75" s="10">
        <v>95</v>
      </c>
      <c r="L75" s="24">
        <f t="shared" si="0"/>
        <v>942889.27905916492</v>
      </c>
      <c r="M75" s="25">
        <f t="shared" si="1"/>
        <v>803083.7151834633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2:24">
      <c r="B76" s="9"/>
      <c r="C76" s="9"/>
      <c r="D76" s="9"/>
      <c r="E76" s="9"/>
      <c r="F76" s="9"/>
      <c r="G76" s="9"/>
      <c r="H76" s="10"/>
      <c r="I76" s="10"/>
      <c r="J76" s="10">
        <v>21</v>
      </c>
      <c r="K76" s="10">
        <v>100</v>
      </c>
      <c r="L76" s="24">
        <f t="shared" si="0"/>
        <v>873163.284629273</v>
      </c>
      <c r="M76" s="25">
        <f t="shared" si="1"/>
        <v>793904.11387000314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2:24">
      <c r="B77" s="9"/>
      <c r="C77" s="9"/>
      <c r="D77" s="9"/>
      <c r="E77" s="9"/>
      <c r="F77" s="9"/>
      <c r="G77" s="9"/>
      <c r="H77" s="10"/>
      <c r="I77" s="10"/>
      <c r="J77" s="10">
        <v>22</v>
      </c>
      <c r="K77" s="10">
        <v>105</v>
      </c>
      <c r="L77" s="24">
        <f t="shared" si="0"/>
        <v>804502.67362964188</v>
      </c>
      <c r="M77" s="25">
        <f t="shared" si="1"/>
        <v>778682.42287758191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2:24">
      <c r="B78" s="9"/>
      <c r="C78" s="9"/>
      <c r="D78" s="9"/>
      <c r="E78" s="9"/>
      <c r="F78" s="9"/>
      <c r="G78" s="9"/>
      <c r="H78" s="10"/>
      <c r="I78" s="10"/>
      <c r="J78" s="10">
        <v>23</v>
      </c>
      <c r="K78" s="10">
        <v>110</v>
      </c>
      <c r="L78" s="24">
        <f t="shared" si="0"/>
        <v>737429.9947683895</v>
      </c>
      <c r="M78" s="25">
        <f t="shared" si="1"/>
        <v>757534.48846576002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2:24">
      <c r="B79" s="9"/>
      <c r="C79" s="9"/>
      <c r="D79" s="9"/>
      <c r="E79" s="9"/>
      <c r="F79" s="9"/>
      <c r="G79" s="9"/>
      <c r="H79" s="10"/>
      <c r="I79" s="10"/>
      <c r="J79" s="10">
        <v>24</v>
      </c>
      <c r="K79" s="10">
        <v>115</v>
      </c>
      <c r="L79" s="24">
        <f t="shared" si="0"/>
        <v>672455.71163124079</v>
      </c>
      <c r="M79" s="25">
        <f t="shared" si="1"/>
        <v>730621.25918488356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2:24">
      <c r="B80" s="9"/>
      <c r="C80" s="9"/>
      <c r="D80" s="9"/>
      <c r="E80" s="9"/>
      <c r="F80" s="9"/>
      <c r="G80" s="9"/>
      <c r="H80" s="10"/>
      <c r="I80" s="10"/>
      <c r="J80" s="10">
        <v>25</v>
      </c>
      <c r="K80" s="10">
        <v>120</v>
      </c>
      <c r="L80" s="24">
        <f t="shared" si="0"/>
        <v>610074.3177454141</v>
      </c>
      <c r="M80" s="25">
        <f t="shared" si="1"/>
        <v>698147.56096043193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2:24">
      <c r="B81" s="9"/>
      <c r="C81" s="9"/>
      <c r="D81" s="9"/>
      <c r="E81" s="9"/>
      <c r="F81" s="9"/>
      <c r="G81" s="9"/>
      <c r="H81" s="10"/>
      <c r="I81" s="10"/>
      <c r="J81" s="10">
        <v>26</v>
      </c>
      <c r="K81" s="10">
        <v>125</v>
      </c>
      <c r="L81" s="24">
        <f t="shared" si="0"/>
        <v>550760.5731852958</v>
      </c>
      <c r="M81" s="25">
        <f t="shared" si="1"/>
        <v>660360.53824404837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2:24">
      <c r="B82" s="9"/>
      <c r="C82" s="9"/>
      <c r="D82" s="9"/>
      <c r="E82" s="9"/>
      <c r="F82" s="9"/>
      <c r="G82" s="9"/>
      <c r="H82" s="10"/>
      <c r="I82" s="10"/>
      <c r="J82" s="10">
        <v>27</v>
      </c>
      <c r="K82" s="10">
        <v>130</v>
      </c>
      <c r="L82" s="24">
        <f t="shared" si="0"/>
        <v>494965.89136160718</v>
      </c>
      <c r="M82" s="25">
        <f t="shared" si="1"/>
        <v>617547.7730950329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2:24">
      <c r="B83" s="9"/>
      <c r="C83" s="9"/>
      <c r="D83" s="9"/>
      <c r="E83" s="9"/>
      <c r="F83" s="9"/>
      <c r="G83" s="9"/>
      <c r="H83" s="10"/>
      <c r="I83" s="10"/>
      <c r="J83" s="10">
        <v>28</v>
      </c>
      <c r="K83" s="10">
        <v>135</v>
      </c>
      <c r="L83" s="24">
        <f t="shared" si="0"/>
        <v>443114.90349277621</v>
      </c>
      <c r="M83" s="25">
        <f t="shared" si="1"/>
        <v>570035.09650722391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2:24">
      <c r="B84" s="9"/>
      <c r="C84" s="9"/>
      <c r="D84" s="9"/>
      <c r="E84" s="9"/>
      <c r="F84" s="9"/>
      <c r="G84" s="9"/>
      <c r="H84" s="10"/>
      <c r="I84" s="10"/>
      <c r="J84" s="10">
        <v>29</v>
      </c>
      <c r="K84" s="10">
        <v>140</v>
      </c>
      <c r="L84" s="24">
        <f t="shared" si="0"/>
        <v>395602.2269049671</v>
      </c>
      <c r="M84" s="25">
        <f t="shared" si="1"/>
        <v>518184.10863839288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2:24">
      <c r="B85" s="9"/>
      <c r="C85" s="9"/>
      <c r="D85" s="9"/>
      <c r="E85" s="9"/>
      <c r="F85" s="9"/>
      <c r="G85" s="9"/>
      <c r="H85" s="10"/>
      <c r="I85" s="10"/>
      <c r="J85" s="10">
        <v>30</v>
      </c>
      <c r="K85" s="10">
        <v>145</v>
      </c>
      <c r="L85" s="24">
        <f t="shared" si="0"/>
        <v>352789.4617559514</v>
      </c>
      <c r="M85" s="25">
        <f t="shared" si="1"/>
        <v>462389.42681470397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2:24">
      <c r="B86" s="9"/>
      <c r="C86" s="9"/>
      <c r="D86" s="9"/>
      <c r="E86" s="9"/>
      <c r="F86" s="9"/>
      <c r="G86" s="9"/>
      <c r="H86" s="10"/>
      <c r="I86" s="10"/>
      <c r="J86" s="10">
        <v>31</v>
      </c>
      <c r="K86" s="10">
        <v>150</v>
      </c>
      <c r="L86" s="24">
        <f t="shared" si="0"/>
        <v>315002.43903956807</v>
      </c>
      <c r="M86" s="25">
        <f t="shared" si="1"/>
        <v>403075.68225458596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2:24">
      <c r="B87" s="9"/>
      <c r="C87" s="9"/>
      <c r="D87" s="9"/>
      <c r="E87" s="9"/>
      <c r="F87" s="9"/>
      <c r="G87" s="9"/>
      <c r="H87" s="10"/>
      <c r="I87" s="10"/>
      <c r="J87" s="10">
        <v>32</v>
      </c>
      <c r="K87" s="10">
        <v>155</v>
      </c>
      <c r="L87" s="24">
        <f t="shared" si="0"/>
        <v>282528.74081511656</v>
      </c>
      <c r="M87" s="25">
        <f t="shared" si="1"/>
        <v>340694.28836875933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2:24">
      <c r="B88" s="9"/>
      <c r="C88" s="9"/>
      <c r="D88" s="9"/>
      <c r="E88" s="9"/>
      <c r="F88" s="9"/>
      <c r="G88" s="9"/>
      <c r="H88" s="10"/>
      <c r="I88" s="10"/>
      <c r="J88" s="10">
        <v>33</v>
      </c>
      <c r="K88" s="10">
        <v>160</v>
      </c>
      <c r="L88" s="24">
        <f t="shared" si="0"/>
        <v>255615.5115342401</v>
      </c>
      <c r="M88" s="25">
        <f t="shared" si="1"/>
        <v>275720.00523161056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2:24">
      <c r="B89" s="9"/>
      <c r="C89" s="9"/>
      <c r="D89" s="9"/>
      <c r="E89" s="9"/>
      <c r="F89" s="9"/>
      <c r="G89" s="9"/>
      <c r="H89" s="10"/>
      <c r="I89" s="10"/>
      <c r="J89" s="10">
        <v>34</v>
      </c>
      <c r="K89" s="10">
        <v>165</v>
      </c>
      <c r="L89" s="24">
        <f t="shared" si="0"/>
        <v>234467.57712241821</v>
      </c>
      <c r="M89" s="25">
        <f t="shared" si="1"/>
        <v>208647.32637035826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2:24">
      <c r="B90" s="9"/>
      <c r="C90" s="9"/>
      <c r="D90" s="9"/>
      <c r="E90" s="9"/>
      <c r="F90" s="9"/>
      <c r="G90" s="9"/>
      <c r="H90" s="10"/>
      <c r="I90" s="10"/>
      <c r="J90" s="10">
        <v>35</v>
      </c>
      <c r="K90" s="10">
        <v>170</v>
      </c>
      <c r="L90" s="24">
        <f t="shared" si="0"/>
        <v>219245.88612999686</v>
      </c>
      <c r="M90" s="25">
        <f t="shared" si="1"/>
        <v>139986.71537072698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2:24">
      <c r="B91" s="9"/>
      <c r="C91" s="9"/>
      <c r="D91" s="9"/>
      <c r="E91" s="9"/>
      <c r="F91" s="9"/>
      <c r="G91" s="9"/>
      <c r="H91" s="10"/>
      <c r="I91" s="10"/>
      <c r="J91" s="10">
        <v>36</v>
      </c>
      <c r="K91" s="10">
        <v>175</v>
      </c>
      <c r="L91" s="24">
        <f t="shared" si="0"/>
        <v>210066.2848165367</v>
      </c>
      <c r="M91" s="25">
        <f t="shared" si="1"/>
        <v>70260.720940835032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2:24">
      <c r="B92" s="9"/>
      <c r="C92" s="9"/>
      <c r="D92" s="9"/>
      <c r="E92" s="9"/>
      <c r="F92" s="9"/>
      <c r="G92" s="9"/>
      <c r="H92" s="10"/>
      <c r="I92" s="10"/>
      <c r="J92" s="10">
        <v>37</v>
      </c>
      <c r="K92" s="10">
        <v>180</v>
      </c>
      <c r="L92" s="24">
        <f t="shared" si="0"/>
        <v>206998.63549082796</v>
      </c>
      <c r="M92" s="25">
        <f t="shared" si="1"/>
        <v>9.8765509865088785E-11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2:24">
      <c r="B93" s="9"/>
      <c r="C93" s="9"/>
      <c r="D93" s="9"/>
      <c r="E93" s="9"/>
      <c r="F93" s="9"/>
      <c r="G93" s="9"/>
      <c r="H93" s="10"/>
      <c r="I93" s="10"/>
      <c r="J93" s="10">
        <v>38</v>
      </c>
      <c r="K93" s="10">
        <v>185</v>
      </c>
      <c r="L93" s="24">
        <f t="shared" si="0"/>
        <v>210066.2848165367</v>
      </c>
      <c r="M93" s="25">
        <f t="shared" si="1"/>
        <v>-70260.720940834828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2:24">
      <c r="B94" s="9"/>
      <c r="C94" s="9"/>
      <c r="D94" s="9"/>
      <c r="E94" s="9"/>
      <c r="F94" s="9"/>
      <c r="G94" s="9"/>
      <c r="H94" s="10"/>
      <c r="I94" s="10"/>
      <c r="J94" s="10">
        <v>39</v>
      </c>
      <c r="K94" s="10">
        <v>190</v>
      </c>
      <c r="L94" s="24">
        <f t="shared" si="0"/>
        <v>219245.88612999686</v>
      </c>
      <c r="M94" s="25">
        <f t="shared" si="1"/>
        <v>-139986.71537072712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2:24">
      <c r="B95" s="9"/>
      <c r="C95" s="9"/>
      <c r="D95" s="9"/>
      <c r="E95" s="9"/>
      <c r="F95" s="9"/>
      <c r="G95" s="9"/>
      <c r="H95" s="10"/>
      <c r="I95" s="10"/>
      <c r="J95" s="10">
        <v>40</v>
      </c>
      <c r="K95" s="10">
        <v>195</v>
      </c>
      <c r="L95" s="24">
        <f t="shared" si="0"/>
        <v>234467.57712241809</v>
      </c>
      <c r="M95" s="25">
        <f t="shared" si="1"/>
        <v>-208647.32637035809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2:24">
      <c r="B96" s="9"/>
      <c r="C96" s="9"/>
      <c r="D96" s="9"/>
      <c r="E96" s="9"/>
      <c r="F96" s="9"/>
      <c r="G96" s="9"/>
      <c r="H96" s="10"/>
      <c r="I96" s="10"/>
      <c r="J96" s="10">
        <v>41</v>
      </c>
      <c r="K96" s="10">
        <v>200</v>
      </c>
      <c r="L96" s="24">
        <f t="shared" si="0"/>
        <v>255615.51153423998</v>
      </c>
      <c r="M96" s="25">
        <f t="shared" si="1"/>
        <v>-275720.00523161038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2:24">
      <c r="B97" s="9"/>
      <c r="C97" s="9"/>
      <c r="D97" s="9"/>
      <c r="E97" s="9"/>
      <c r="F97" s="9"/>
      <c r="G97" s="9"/>
      <c r="H97" s="10"/>
      <c r="I97" s="10"/>
      <c r="J97" s="10">
        <v>42</v>
      </c>
      <c r="K97" s="10">
        <v>205</v>
      </c>
      <c r="L97" s="24">
        <f t="shared" si="0"/>
        <v>282528.74081511644</v>
      </c>
      <c r="M97" s="25">
        <f t="shared" si="1"/>
        <v>-340694.28836875915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2:24">
      <c r="B98" s="9"/>
      <c r="C98" s="9"/>
      <c r="D98" s="9"/>
      <c r="E98" s="9"/>
      <c r="F98" s="9"/>
      <c r="G98" s="9"/>
      <c r="H98" s="10"/>
      <c r="I98" s="10"/>
      <c r="J98" s="10">
        <v>43</v>
      </c>
      <c r="K98" s="10">
        <v>210</v>
      </c>
      <c r="L98" s="24">
        <f t="shared" si="0"/>
        <v>315002.43903956818</v>
      </c>
      <c r="M98" s="25">
        <f t="shared" si="1"/>
        <v>-403075.68225458614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2:24">
      <c r="B99" s="9"/>
      <c r="C99" s="9"/>
      <c r="D99" s="9"/>
      <c r="E99" s="9"/>
      <c r="F99" s="9"/>
      <c r="G99" s="9"/>
      <c r="H99" s="10"/>
      <c r="I99" s="10"/>
      <c r="J99" s="10">
        <v>44</v>
      </c>
      <c r="K99" s="10">
        <v>215</v>
      </c>
      <c r="L99" s="24">
        <f t="shared" si="0"/>
        <v>352789.46175595152</v>
      </c>
      <c r="M99" s="25">
        <f t="shared" si="1"/>
        <v>-462389.42681470414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2:24">
      <c r="B100" s="9"/>
      <c r="C100" s="9"/>
      <c r="D100" s="9"/>
      <c r="E100" s="9"/>
      <c r="F100" s="9"/>
      <c r="G100" s="9"/>
      <c r="H100" s="10"/>
      <c r="I100" s="10"/>
      <c r="J100" s="10">
        <v>45</v>
      </c>
      <c r="K100" s="10">
        <v>220</v>
      </c>
      <c r="L100" s="24">
        <f t="shared" si="0"/>
        <v>395602.2269049671</v>
      </c>
      <c r="M100" s="25">
        <f t="shared" si="1"/>
        <v>-518184.1086383927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2:24">
      <c r="B101" s="9"/>
      <c r="C101" s="9"/>
      <c r="D101" s="9"/>
      <c r="E101" s="9"/>
      <c r="F101" s="9"/>
      <c r="G101" s="9"/>
      <c r="H101" s="10"/>
      <c r="I101" s="10"/>
      <c r="J101" s="10">
        <v>46</v>
      </c>
      <c r="K101" s="10">
        <v>225</v>
      </c>
      <c r="L101" s="24">
        <f t="shared" si="0"/>
        <v>443114.90349277609</v>
      </c>
      <c r="M101" s="25">
        <f t="shared" si="1"/>
        <v>-570035.09650722379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2:24">
      <c r="B102" s="9"/>
      <c r="C102" s="9"/>
      <c r="D102" s="9"/>
      <c r="E102" s="9"/>
      <c r="F102" s="9"/>
      <c r="G102" s="9"/>
      <c r="H102" s="10"/>
      <c r="I102" s="10"/>
      <c r="J102" s="10">
        <v>47</v>
      </c>
      <c r="K102" s="10">
        <v>230</v>
      </c>
      <c r="L102" s="24">
        <f t="shared" si="0"/>
        <v>494965.89136160712</v>
      </c>
      <c r="M102" s="25">
        <f t="shared" si="1"/>
        <v>-617547.7730950329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2:24">
      <c r="B103" s="9"/>
      <c r="C103" s="9"/>
      <c r="D103" s="9"/>
      <c r="E103" s="9"/>
      <c r="F103" s="9"/>
      <c r="G103" s="9"/>
      <c r="H103" s="10"/>
      <c r="I103" s="10"/>
      <c r="J103" s="10">
        <v>48</v>
      </c>
      <c r="K103" s="10">
        <v>235</v>
      </c>
      <c r="L103" s="24">
        <f t="shared" si="0"/>
        <v>550760.57318529568</v>
      </c>
      <c r="M103" s="25">
        <f t="shared" si="1"/>
        <v>-660360.53824404825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2:24">
      <c r="B104" s="9"/>
      <c r="C104" s="9"/>
      <c r="D104" s="9"/>
      <c r="E104" s="9"/>
      <c r="F104" s="9"/>
      <c r="G104" s="9"/>
      <c r="H104" s="10"/>
      <c r="I104" s="10"/>
      <c r="J104" s="10">
        <v>49</v>
      </c>
      <c r="K104" s="10">
        <v>240</v>
      </c>
      <c r="L104" s="24">
        <f t="shared" si="0"/>
        <v>610074.31774541363</v>
      </c>
      <c r="M104" s="25">
        <f t="shared" si="1"/>
        <v>-698147.5609604317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2:24">
      <c r="B105" s="9"/>
      <c r="C105" s="9"/>
      <c r="D105" s="9"/>
      <c r="E105" s="9"/>
      <c r="F105" s="9"/>
      <c r="G105" s="9"/>
      <c r="H105" s="10"/>
      <c r="I105" s="10"/>
      <c r="J105" s="10">
        <v>50</v>
      </c>
      <c r="K105" s="10">
        <v>245</v>
      </c>
      <c r="L105" s="24">
        <f t="shared" si="0"/>
        <v>672455.71163124102</v>
      </c>
      <c r="M105" s="25">
        <f t="shared" si="1"/>
        <v>-730621.25918488356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2:24">
      <c r="B106" s="9"/>
      <c r="C106" s="9"/>
      <c r="D106" s="9"/>
      <c r="E106" s="9"/>
      <c r="F106" s="9"/>
      <c r="G106" s="9"/>
      <c r="H106" s="10"/>
      <c r="I106" s="10"/>
      <c r="J106" s="10">
        <v>51</v>
      </c>
      <c r="K106" s="10">
        <v>250</v>
      </c>
      <c r="L106" s="24">
        <f t="shared" si="0"/>
        <v>737429.99476838973</v>
      </c>
      <c r="M106" s="25">
        <f t="shared" si="1"/>
        <v>-757534.48846576002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2:24">
      <c r="B107" s="9"/>
      <c r="C107" s="9"/>
      <c r="D107" s="9"/>
      <c r="E107" s="9"/>
      <c r="F107" s="9"/>
      <c r="G107" s="9"/>
      <c r="H107" s="10"/>
      <c r="I107" s="10"/>
      <c r="J107" s="10">
        <v>52</v>
      </c>
      <c r="K107" s="10">
        <v>255</v>
      </c>
      <c r="L107" s="24">
        <f t="shared" si="0"/>
        <v>804502.673629642</v>
      </c>
      <c r="M107" s="25">
        <f t="shared" si="1"/>
        <v>-778682.42287758191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2:24">
      <c r="B108" s="9"/>
      <c r="C108" s="9"/>
      <c r="D108" s="9"/>
      <c r="E108" s="9"/>
      <c r="F108" s="9"/>
      <c r="G108" s="9"/>
      <c r="H108" s="10"/>
      <c r="I108" s="10"/>
      <c r="J108" s="10">
        <v>53</v>
      </c>
      <c r="K108" s="10">
        <v>260</v>
      </c>
      <c r="L108" s="24">
        <f t="shared" si="0"/>
        <v>873163.284629273</v>
      </c>
      <c r="M108" s="25">
        <f t="shared" si="1"/>
        <v>-793904.11387000314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2:24">
      <c r="B109" s="9"/>
      <c r="C109" s="9"/>
      <c r="D109" s="9"/>
      <c r="E109" s="9"/>
      <c r="F109" s="9"/>
      <c r="G109" s="9"/>
      <c r="H109" s="10"/>
      <c r="I109" s="10"/>
      <c r="J109" s="10">
        <v>54</v>
      </c>
      <c r="K109" s="10">
        <v>265</v>
      </c>
      <c r="L109" s="24">
        <f t="shared" si="0"/>
        <v>942889.27905916492</v>
      </c>
      <c r="M109" s="25">
        <f t="shared" si="1"/>
        <v>-803083.7151834633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2:24">
      <c r="B110" s="9"/>
      <c r="C110" s="9"/>
      <c r="D110" s="9"/>
      <c r="E110" s="9"/>
      <c r="F110" s="9"/>
      <c r="G110" s="9"/>
      <c r="H110" s="10"/>
      <c r="I110" s="10"/>
      <c r="J110" s="10">
        <v>55</v>
      </c>
      <c r="K110" s="10">
        <v>270</v>
      </c>
      <c r="L110" s="24">
        <f t="shared" si="0"/>
        <v>1013149.9999999999</v>
      </c>
      <c r="M110" s="25">
        <f t="shared" si="1"/>
        <v>-806151.36450917204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2:24">
      <c r="B111" s="9"/>
      <c r="C111" s="9"/>
      <c r="D111" s="9"/>
      <c r="E111" s="9"/>
      <c r="F111" s="9"/>
      <c r="G111" s="9"/>
      <c r="H111" s="10"/>
      <c r="I111" s="10"/>
      <c r="J111" s="10">
        <v>56</v>
      </c>
      <c r="K111" s="10">
        <v>275</v>
      </c>
      <c r="L111" s="24">
        <f t="shared" si="0"/>
        <v>1083410.7209408348</v>
      </c>
      <c r="M111" s="25">
        <f t="shared" si="1"/>
        <v>-803083.7151834633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2:24">
      <c r="B112" s="9"/>
      <c r="C112" s="9"/>
      <c r="D112" s="9"/>
      <c r="E112" s="9"/>
      <c r="F112" s="9"/>
      <c r="G112" s="9"/>
      <c r="H112" s="10"/>
      <c r="I112" s="10"/>
      <c r="J112" s="10">
        <v>57</v>
      </c>
      <c r="K112" s="10">
        <v>280</v>
      </c>
      <c r="L112" s="24">
        <f t="shared" si="0"/>
        <v>1153136.7153707268</v>
      </c>
      <c r="M112" s="25">
        <f t="shared" si="1"/>
        <v>-793904.11387000326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2:24">
      <c r="B113" s="9"/>
      <c r="C113" s="9"/>
      <c r="D113" s="9"/>
      <c r="E113" s="9"/>
      <c r="F113" s="9"/>
      <c r="G113" s="9"/>
      <c r="H113" s="10"/>
      <c r="I113" s="10"/>
      <c r="J113" s="10">
        <v>58</v>
      </c>
      <c r="K113" s="10">
        <v>285</v>
      </c>
      <c r="L113" s="24">
        <f t="shared" si="0"/>
        <v>1221797.3263703578</v>
      </c>
      <c r="M113" s="25">
        <f t="shared" si="1"/>
        <v>-778682.42287758202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2:24">
      <c r="B114" s="9"/>
      <c r="C114" s="9"/>
      <c r="D114" s="9"/>
      <c r="E114" s="9"/>
      <c r="F114" s="9"/>
      <c r="G114" s="9"/>
      <c r="H114" s="10"/>
      <c r="I114" s="10"/>
      <c r="J114" s="10">
        <v>59</v>
      </c>
      <c r="K114" s="10">
        <v>290</v>
      </c>
      <c r="L114" s="24">
        <f t="shared" si="0"/>
        <v>1288870.0052316107</v>
      </c>
      <c r="M114" s="25">
        <f t="shared" si="1"/>
        <v>-757534.4884657599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2:24">
      <c r="B115" s="9"/>
      <c r="C115" s="9"/>
      <c r="D115" s="9"/>
      <c r="E115" s="9"/>
      <c r="F115" s="9"/>
      <c r="G115" s="9"/>
      <c r="H115" s="10"/>
      <c r="I115" s="10"/>
      <c r="J115" s="10">
        <v>60</v>
      </c>
      <c r="K115" s="10">
        <v>295</v>
      </c>
      <c r="L115" s="24">
        <f t="shared" si="0"/>
        <v>1353844.2883687594</v>
      </c>
      <c r="M115" s="25">
        <f t="shared" si="1"/>
        <v>-730621.25918488344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2:24">
      <c r="B116" s="9"/>
      <c r="C116" s="9"/>
      <c r="D116" s="9"/>
      <c r="E116" s="9"/>
      <c r="F116" s="9"/>
      <c r="G116" s="9"/>
      <c r="H116" s="10"/>
      <c r="I116" s="10"/>
      <c r="J116" s="10">
        <v>61</v>
      </c>
      <c r="K116" s="10">
        <v>300</v>
      </c>
      <c r="L116" s="24">
        <f t="shared" si="0"/>
        <v>1416225.6822545861</v>
      </c>
      <c r="M116" s="25">
        <f t="shared" si="1"/>
        <v>-698147.56096043182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2:24">
      <c r="B117" s="9"/>
      <c r="C117" s="9"/>
      <c r="D117" s="9"/>
      <c r="E117" s="9"/>
      <c r="F117" s="9"/>
      <c r="G117" s="9"/>
      <c r="H117" s="10"/>
      <c r="I117" s="10"/>
      <c r="J117" s="10">
        <v>62</v>
      </c>
      <c r="K117" s="10">
        <v>305</v>
      </c>
      <c r="L117" s="24">
        <f t="shared" si="0"/>
        <v>1475539.426814704</v>
      </c>
      <c r="M117" s="25">
        <f t="shared" si="1"/>
        <v>-660360.53824404848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2:24">
      <c r="B118" s="9"/>
      <c r="C118" s="9"/>
      <c r="D118" s="9"/>
      <c r="E118" s="9"/>
      <c r="F118" s="9"/>
      <c r="G118" s="9"/>
      <c r="H118" s="10"/>
      <c r="I118" s="10"/>
      <c r="J118" s="10">
        <v>63</v>
      </c>
      <c r="K118" s="10">
        <v>310</v>
      </c>
      <c r="L118" s="24">
        <f t="shared" si="0"/>
        <v>1531334.1086383928</v>
      </c>
      <c r="M118" s="25">
        <f t="shared" si="1"/>
        <v>-617547.77309503302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2:24">
      <c r="B119" s="9"/>
      <c r="C119" s="9"/>
      <c r="D119" s="9"/>
      <c r="E119" s="9"/>
      <c r="F119" s="9"/>
      <c r="G119" s="9"/>
      <c r="H119" s="10"/>
      <c r="I119" s="10"/>
      <c r="J119" s="10">
        <v>64</v>
      </c>
      <c r="K119" s="10">
        <v>315</v>
      </c>
      <c r="L119" s="24">
        <f t="shared" si="0"/>
        <v>1583185.0965072238</v>
      </c>
      <c r="M119" s="25">
        <f t="shared" si="1"/>
        <v>-570035.09650722391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2:24">
      <c r="B120" s="9"/>
      <c r="C120" s="9"/>
      <c r="D120" s="9"/>
      <c r="E120" s="9"/>
      <c r="F120" s="9"/>
      <c r="G120" s="9"/>
      <c r="H120" s="10"/>
      <c r="I120" s="10"/>
      <c r="J120" s="10">
        <v>65</v>
      </c>
      <c r="K120" s="10">
        <v>320</v>
      </c>
      <c r="L120" s="24">
        <f t="shared" si="0"/>
        <v>1630697.7730950327</v>
      </c>
      <c r="M120" s="25">
        <f t="shared" si="1"/>
        <v>-518184.10863839299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2:24">
      <c r="B121" s="9"/>
      <c r="C121" s="9"/>
      <c r="D121" s="9"/>
      <c r="E121" s="9"/>
      <c r="F121" s="9"/>
      <c r="G121" s="9"/>
      <c r="H121" s="10"/>
      <c r="I121" s="10"/>
      <c r="J121" s="10">
        <v>66</v>
      </c>
      <c r="K121" s="10">
        <v>325</v>
      </c>
      <c r="L121" s="24">
        <f t="shared" si="0"/>
        <v>1673510.5382440481</v>
      </c>
      <c r="M121" s="25">
        <f t="shared" si="1"/>
        <v>-462389.42681470438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2:24">
      <c r="B122" s="9"/>
      <c r="C122" s="9"/>
      <c r="D122" s="9"/>
      <c r="E122" s="9"/>
      <c r="F122" s="9"/>
      <c r="G122" s="9"/>
      <c r="H122" s="10"/>
      <c r="I122" s="10"/>
      <c r="J122" s="10">
        <v>67</v>
      </c>
      <c r="K122" s="10">
        <v>330</v>
      </c>
      <c r="L122" s="24">
        <f t="shared" ref="L122:L128" si="2">$G$48+$G$49*COS(RADIANS(K122))</f>
        <v>1711297.5609604316</v>
      </c>
      <c r="M122" s="25">
        <f t="shared" ref="M122:M128" si="3">$G$49*SIN(RADIANS(K122))</f>
        <v>-403075.68225458637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2:24">
      <c r="B123" s="9"/>
      <c r="C123" s="9"/>
      <c r="D123" s="9"/>
      <c r="E123" s="9"/>
      <c r="F123" s="9"/>
      <c r="G123" s="9"/>
      <c r="H123" s="10"/>
      <c r="I123" s="10"/>
      <c r="J123" s="10">
        <v>68</v>
      </c>
      <c r="K123" s="10">
        <v>335</v>
      </c>
      <c r="L123" s="24">
        <f t="shared" si="2"/>
        <v>1743771.2591848834</v>
      </c>
      <c r="M123" s="25">
        <f t="shared" si="3"/>
        <v>-340694.28836875909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2:24">
      <c r="B124" s="9"/>
      <c r="C124" s="9"/>
      <c r="D124" s="9"/>
      <c r="E124" s="9"/>
      <c r="F124" s="9"/>
      <c r="G124" s="9"/>
      <c r="H124" s="10"/>
      <c r="I124" s="10"/>
      <c r="J124" s="10">
        <v>69</v>
      </c>
      <c r="K124" s="10">
        <v>340</v>
      </c>
      <c r="L124" s="24">
        <f t="shared" si="2"/>
        <v>1770684.4884657599</v>
      </c>
      <c r="M124" s="25">
        <f t="shared" si="3"/>
        <v>-275720.00523161032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2:24">
      <c r="B125" s="9"/>
      <c r="C125" s="9"/>
      <c r="D125" s="9"/>
      <c r="E125" s="9"/>
      <c r="F125" s="9"/>
      <c r="G125" s="9"/>
      <c r="H125" s="10"/>
      <c r="I125" s="10"/>
      <c r="J125" s="10">
        <v>70</v>
      </c>
      <c r="K125" s="10">
        <v>345</v>
      </c>
      <c r="L125" s="24">
        <f t="shared" si="2"/>
        <v>1791832.4228775818</v>
      </c>
      <c r="M125" s="25">
        <f t="shared" si="3"/>
        <v>-208647.326370358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2:24">
      <c r="B126" s="9"/>
      <c r="C126" s="9"/>
      <c r="D126" s="9"/>
      <c r="E126" s="9"/>
      <c r="F126" s="9"/>
      <c r="G126" s="9"/>
      <c r="H126" s="10"/>
      <c r="I126" s="10"/>
      <c r="J126" s="10">
        <v>71</v>
      </c>
      <c r="K126" s="10">
        <v>350</v>
      </c>
      <c r="L126" s="24">
        <f t="shared" si="2"/>
        <v>1807054.1138700033</v>
      </c>
      <c r="M126" s="25">
        <f t="shared" si="3"/>
        <v>-139986.71537072706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2:24">
      <c r="B127" s="9"/>
      <c r="C127" s="9"/>
      <c r="D127" s="9"/>
      <c r="E127" s="9"/>
      <c r="F127" s="9"/>
      <c r="G127" s="9"/>
      <c r="H127" s="10"/>
      <c r="I127" s="10"/>
      <c r="J127" s="10">
        <v>72</v>
      </c>
      <c r="K127" s="10">
        <v>355</v>
      </c>
      <c r="L127" s="24">
        <f t="shared" si="2"/>
        <v>1816233.7151834634</v>
      </c>
      <c r="M127" s="25">
        <f t="shared" si="3"/>
        <v>-70260.720940835134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2:24">
      <c r="B128" s="9"/>
      <c r="C128" s="9"/>
      <c r="D128" s="9"/>
      <c r="E128" s="9"/>
      <c r="F128" s="9"/>
      <c r="G128" s="9"/>
      <c r="H128" s="10"/>
      <c r="I128" s="10"/>
      <c r="J128" s="10">
        <v>73</v>
      </c>
      <c r="K128" s="10">
        <v>360</v>
      </c>
      <c r="L128" s="24">
        <f t="shared" si="2"/>
        <v>1819301.364509172</v>
      </c>
      <c r="M128" s="25">
        <f t="shared" si="3"/>
        <v>-1.9753101973017757E-10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2:24">
      <c r="B129" s="9"/>
      <c r="C129" s="9"/>
      <c r="D129" s="9"/>
      <c r="E129" s="9"/>
      <c r="F129" s="9"/>
      <c r="G129" s="9"/>
      <c r="H129" s="10"/>
      <c r="I129" s="10"/>
      <c r="J129" s="10"/>
      <c r="K129" s="10"/>
      <c r="L129" s="10"/>
      <c r="M129" s="1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2:24">
      <c r="B130" s="9"/>
      <c r="C130" s="9"/>
      <c r="D130" s="9"/>
      <c r="E130" s="9"/>
      <c r="F130" s="9"/>
      <c r="G130" s="9"/>
      <c r="H130" s="10"/>
      <c r="I130" s="10"/>
      <c r="J130" s="10"/>
      <c r="K130" s="10"/>
      <c r="L130" s="10"/>
      <c r="M130" s="1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2:24">
      <c r="B131" s="9"/>
      <c r="C131" s="9"/>
      <c r="D131" s="9"/>
      <c r="E131" s="9"/>
      <c r="F131" s="9"/>
      <c r="G131" s="9"/>
      <c r="H131" s="10"/>
      <c r="I131" s="10"/>
      <c r="J131" s="10"/>
      <c r="K131" s="10"/>
      <c r="L131" s="10"/>
      <c r="M131" s="1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2:24">
      <c r="B132" s="9"/>
      <c r="C132" s="9"/>
      <c r="D132" s="9"/>
      <c r="E132" s="9"/>
      <c r="F132" s="9"/>
      <c r="G132" s="9"/>
      <c r="H132" s="10"/>
      <c r="I132" s="10"/>
      <c r="J132" s="10"/>
      <c r="K132" s="10"/>
      <c r="L132" s="10"/>
      <c r="M132" s="1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2:24">
      <c r="B133" s="9"/>
      <c r="C133" s="9"/>
      <c r="D133" s="9"/>
      <c r="E133" s="9"/>
      <c r="F133" s="9"/>
      <c r="G133" s="9"/>
      <c r="H133" s="10"/>
      <c r="I133" s="10"/>
      <c r="J133" s="10"/>
      <c r="K133" s="10"/>
      <c r="L133" s="10"/>
      <c r="M133" s="1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2:24">
      <c r="B134" s="9"/>
      <c r="C134" s="9"/>
      <c r="D134" s="9"/>
      <c r="E134" s="9"/>
      <c r="F134" s="9"/>
      <c r="G134" s="9"/>
      <c r="H134" s="10"/>
      <c r="I134" s="10"/>
      <c r="J134" s="10"/>
      <c r="K134" s="10"/>
      <c r="L134" s="10"/>
      <c r="M134" s="1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2:24">
      <c r="B135" s="9"/>
      <c r="C135" s="9"/>
      <c r="D135" s="9"/>
      <c r="E135" s="9"/>
      <c r="F135" s="9"/>
      <c r="G135" s="9"/>
      <c r="H135" s="10"/>
      <c r="I135" s="10"/>
      <c r="J135" s="10"/>
      <c r="K135" s="10"/>
      <c r="L135" s="10"/>
      <c r="M135" s="1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2:24">
      <c r="B136" s="9"/>
      <c r="C136" s="9"/>
      <c r="D136" s="9"/>
      <c r="E136" s="9"/>
      <c r="F136" s="9"/>
      <c r="G136" s="9"/>
      <c r="H136" s="10"/>
      <c r="I136" s="10"/>
      <c r="J136" s="10"/>
      <c r="K136" s="10"/>
      <c r="L136" s="10"/>
      <c r="M136" s="1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2:24">
      <c r="B137" s="9"/>
      <c r="C137" s="9"/>
      <c r="D137" s="9"/>
      <c r="E137" s="9"/>
      <c r="F137" s="9"/>
      <c r="G137" s="9"/>
      <c r="H137" s="10"/>
      <c r="I137" s="10"/>
      <c r="J137" s="10"/>
      <c r="K137" s="10"/>
      <c r="L137" s="10"/>
      <c r="M137" s="1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2:24">
      <c r="B138" s="9"/>
      <c r="C138" s="9"/>
      <c r="D138" s="9"/>
      <c r="E138" s="9"/>
      <c r="F138" s="9"/>
      <c r="G138" s="9"/>
      <c r="H138" s="10"/>
      <c r="I138" s="10"/>
      <c r="J138" s="10"/>
      <c r="K138" s="10"/>
      <c r="L138" s="10"/>
      <c r="M138" s="1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2:24">
      <c r="B139" s="9"/>
      <c r="C139" s="9"/>
      <c r="D139" s="9"/>
      <c r="E139" s="9"/>
      <c r="F139" s="9"/>
      <c r="G139" s="9"/>
      <c r="H139" s="10"/>
      <c r="I139" s="10"/>
      <c r="J139" s="10"/>
      <c r="K139" s="10"/>
      <c r="L139" s="10"/>
      <c r="M139" s="1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2:24">
      <c r="B140" s="9"/>
      <c r="C140" s="9"/>
      <c r="D140" s="9"/>
      <c r="E140" s="9"/>
      <c r="F140" s="9"/>
      <c r="G140" s="9"/>
      <c r="H140" s="10"/>
      <c r="I140" s="10"/>
      <c r="J140" s="10"/>
      <c r="K140" s="10"/>
      <c r="L140" s="10"/>
      <c r="M140" s="1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2:24">
      <c r="B141" s="9"/>
      <c r="C141" s="9"/>
      <c r="D141" s="9"/>
      <c r="E141" s="9"/>
      <c r="F141" s="9"/>
      <c r="G141" s="9"/>
      <c r="H141" s="10"/>
      <c r="I141" s="10"/>
      <c r="J141" s="10"/>
      <c r="K141" s="10"/>
      <c r="L141" s="10"/>
      <c r="M141" s="1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2:24">
      <c r="B142" s="9"/>
      <c r="C142" s="9"/>
      <c r="D142" s="9"/>
      <c r="E142" s="9"/>
      <c r="F142" s="9"/>
      <c r="G142" s="9"/>
      <c r="H142" s="10"/>
      <c r="I142" s="10"/>
      <c r="J142" s="10"/>
      <c r="K142" s="10"/>
      <c r="L142" s="10"/>
      <c r="M142" s="1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2:24">
      <c r="B143" s="9"/>
      <c r="C143" s="9"/>
      <c r="D143" s="9"/>
      <c r="E143" s="9"/>
      <c r="F143" s="9"/>
      <c r="G143" s="9"/>
      <c r="H143" s="10"/>
      <c r="I143" s="10"/>
      <c r="J143" s="10"/>
      <c r="K143" s="10"/>
      <c r="L143" s="10"/>
      <c r="M143" s="1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2:24">
      <c r="B144" s="9"/>
      <c r="C144" s="9"/>
      <c r="D144" s="9"/>
      <c r="E144" s="9"/>
      <c r="F144" s="9"/>
      <c r="G144" s="9"/>
      <c r="H144" s="10"/>
      <c r="I144" s="10"/>
      <c r="J144" s="10"/>
      <c r="K144" s="10"/>
      <c r="L144" s="10"/>
      <c r="M144" s="1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2:24">
      <c r="B145" s="9"/>
      <c r="C145" s="9"/>
      <c r="D145" s="9"/>
      <c r="E145" s="9"/>
      <c r="F145" s="9"/>
      <c r="G145" s="9"/>
      <c r="H145" s="10"/>
      <c r="I145" s="10"/>
      <c r="J145" s="10"/>
      <c r="K145" s="10"/>
      <c r="L145" s="10"/>
      <c r="M145" s="1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2:24">
      <c r="B146" s="9"/>
      <c r="C146" s="9"/>
      <c r="D146" s="9"/>
      <c r="E146" s="9"/>
      <c r="F146" s="9"/>
      <c r="G146" s="9"/>
      <c r="H146" s="10"/>
      <c r="I146" s="10"/>
      <c r="J146" s="10"/>
      <c r="K146" s="10"/>
      <c r="L146" s="10"/>
      <c r="M146" s="1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2:24">
      <c r="B147" s="9"/>
      <c r="C147" s="9"/>
      <c r="D147" s="9"/>
      <c r="E147" s="9"/>
      <c r="F147" s="9"/>
      <c r="G147" s="9"/>
      <c r="H147" s="10"/>
      <c r="I147" s="10"/>
      <c r="J147" s="10"/>
      <c r="K147" s="10"/>
      <c r="L147" s="10"/>
      <c r="M147" s="1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2:24">
      <c r="B148" s="9"/>
      <c r="C148" s="9"/>
      <c r="D148" s="9"/>
      <c r="E148" s="9"/>
      <c r="F148" s="9"/>
      <c r="G148" s="9"/>
      <c r="H148" s="10"/>
      <c r="I148" s="10"/>
      <c r="J148" s="10"/>
      <c r="K148" s="10"/>
      <c r="L148" s="10"/>
      <c r="M148" s="1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2:24">
      <c r="B149" s="9"/>
      <c r="C149" s="9"/>
      <c r="D149" s="9"/>
      <c r="E149" s="9"/>
      <c r="F149" s="9"/>
      <c r="G149" s="9"/>
      <c r="H149" s="10"/>
      <c r="I149" s="10"/>
      <c r="J149" s="10"/>
      <c r="K149" s="10"/>
      <c r="L149" s="10"/>
      <c r="M149" s="1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2:24">
      <c r="B150" s="9"/>
      <c r="C150" s="9"/>
      <c r="D150" s="9"/>
      <c r="E150" s="9"/>
      <c r="F150" s="9"/>
      <c r="G150" s="9"/>
      <c r="H150" s="10"/>
      <c r="I150" s="10"/>
      <c r="J150" s="10"/>
      <c r="K150" s="10"/>
      <c r="L150" s="10"/>
      <c r="M150" s="1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2:24">
      <c r="B151" s="9"/>
      <c r="C151" s="9"/>
      <c r="D151" s="9"/>
      <c r="E151" s="9"/>
      <c r="F151" s="9"/>
      <c r="G151" s="9"/>
      <c r="H151" s="10"/>
      <c r="I151" s="10"/>
      <c r="J151" s="10"/>
      <c r="K151" s="10"/>
      <c r="L151" s="10"/>
      <c r="M151" s="1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2:24">
      <c r="B152" s="9"/>
      <c r="C152" s="9"/>
      <c r="D152" s="9"/>
      <c r="E152" s="9"/>
      <c r="F152" s="9"/>
      <c r="G152" s="9"/>
      <c r="H152" s="10"/>
      <c r="I152" s="10"/>
      <c r="J152" s="10"/>
      <c r="K152" s="10"/>
      <c r="L152" s="10"/>
      <c r="M152" s="1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2:24">
      <c r="B153" s="9"/>
      <c r="C153" s="9"/>
      <c r="D153" s="9"/>
      <c r="E153" s="9"/>
      <c r="F153" s="9"/>
      <c r="G153" s="9"/>
      <c r="H153" s="10"/>
      <c r="I153" s="10"/>
      <c r="J153" s="10"/>
      <c r="K153" s="10"/>
      <c r="L153" s="10"/>
      <c r="M153" s="1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2:24">
      <c r="B154" s="9"/>
      <c r="C154" s="9"/>
      <c r="D154" s="9"/>
      <c r="E154" s="9"/>
      <c r="F154" s="9"/>
      <c r="G154" s="9"/>
      <c r="H154" s="10"/>
      <c r="I154" s="10"/>
      <c r="J154" s="10"/>
      <c r="K154" s="10"/>
      <c r="L154" s="10"/>
      <c r="M154" s="1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2:24">
      <c r="B155" s="9"/>
      <c r="C155" s="9"/>
      <c r="D155" s="9"/>
      <c r="E155" s="9"/>
      <c r="F155" s="9"/>
      <c r="G155" s="9"/>
      <c r="H155" s="10"/>
      <c r="I155" s="10"/>
      <c r="J155" s="10"/>
      <c r="K155" s="10"/>
      <c r="L155" s="10"/>
      <c r="M155" s="1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2:24">
      <c r="B156" s="9"/>
      <c r="C156" s="9"/>
      <c r="D156" s="9"/>
      <c r="E156" s="9"/>
      <c r="F156" s="9"/>
      <c r="G156" s="9"/>
      <c r="H156" s="10"/>
      <c r="I156" s="10"/>
      <c r="J156" s="10"/>
      <c r="K156" s="10"/>
      <c r="L156" s="10"/>
      <c r="M156" s="1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2:24">
      <c r="B157" s="9"/>
      <c r="C157" s="9"/>
      <c r="D157" s="9"/>
      <c r="E157" s="9"/>
      <c r="F157" s="9"/>
      <c r="G157" s="9"/>
      <c r="H157" s="10"/>
      <c r="I157" s="10"/>
      <c r="J157" s="10"/>
      <c r="K157" s="10"/>
      <c r="L157" s="10"/>
      <c r="M157" s="1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2:24">
      <c r="B158" s="9"/>
      <c r="C158" s="9"/>
      <c r="D158" s="9"/>
      <c r="E158" s="9"/>
      <c r="F158" s="9"/>
      <c r="G158" s="9"/>
      <c r="H158" s="10"/>
      <c r="I158" s="10"/>
      <c r="J158" s="10"/>
      <c r="K158" s="10"/>
      <c r="L158" s="10"/>
      <c r="M158" s="1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2:24">
      <c r="B159" s="9"/>
      <c r="C159" s="9"/>
      <c r="D159" s="9"/>
      <c r="E159" s="9"/>
      <c r="F159" s="9"/>
      <c r="G159" s="9"/>
      <c r="H159" s="10"/>
      <c r="I159" s="10"/>
      <c r="J159" s="10"/>
      <c r="K159" s="10"/>
      <c r="L159" s="10"/>
      <c r="M159" s="1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2:24">
      <c r="B160" s="9"/>
      <c r="C160" s="9"/>
      <c r="D160" s="9"/>
      <c r="E160" s="9"/>
      <c r="F160" s="9"/>
      <c r="G160" s="9"/>
      <c r="H160" s="10"/>
      <c r="I160" s="10"/>
      <c r="J160" s="10"/>
      <c r="K160" s="10"/>
      <c r="L160" s="10"/>
      <c r="M160" s="1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2:24">
      <c r="B161" s="9"/>
      <c r="C161" s="9"/>
      <c r="D161" s="9"/>
      <c r="E161" s="9"/>
      <c r="F161" s="9"/>
      <c r="G161" s="9"/>
      <c r="H161" s="10"/>
      <c r="I161" s="10"/>
      <c r="J161" s="10"/>
      <c r="K161" s="10"/>
      <c r="L161" s="10"/>
      <c r="M161" s="1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2:24">
      <c r="B162" s="9"/>
      <c r="C162" s="9"/>
      <c r="D162" s="9"/>
      <c r="E162" s="9"/>
      <c r="F162" s="9"/>
      <c r="G162" s="9"/>
      <c r="H162" s="10"/>
      <c r="I162" s="10"/>
      <c r="J162" s="10"/>
      <c r="K162" s="10"/>
      <c r="L162" s="10"/>
      <c r="M162" s="1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2:24">
      <c r="B163" s="9"/>
      <c r="C163" s="9"/>
      <c r="D163" s="9"/>
      <c r="E163" s="9"/>
      <c r="F163" s="9"/>
      <c r="G163" s="9"/>
      <c r="H163" s="10"/>
      <c r="I163" s="10"/>
      <c r="J163" s="10"/>
      <c r="K163" s="10"/>
      <c r="L163" s="10"/>
      <c r="M163" s="1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2:24">
      <c r="B164" s="9"/>
      <c r="C164" s="9"/>
      <c r="D164" s="9"/>
      <c r="E164" s="9"/>
      <c r="F164" s="9"/>
      <c r="G164" s="9"/>
      <c r="H164" s="10"/>
      <c r="I164" s="10"/>
      <c r="J164" s="10"/>
      <c r="K164" s="10"/>
      <c r="L164" s="10"/>
      <c r="M164" s="1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2:24">
      <c r="B165" s="9"/>
      <c r="C165" s="9"/>
      <c r="D165" s="9"/>
      <c r="E165" s="9"/>
      <c r="F165" s="9"/>
      <c r="G165" s="9"/>
      <c r="H165" s="10"/>
      <c r="I165" s="10"/>
      <c r="J165" s="10"/>
      <c r="K165" s="10"/>
      <c r="L165" s="10"/>
      <c r="M165" s="1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2:24">
      <c r="B166" s="9"/>
      <c r="C166" s="9"/>
      <c r="D166" s="9"/>
      <c r="E166" s="9"/>
      <c r="F166" s="9"/>
      <c r="G166" s="9"/>
      <c r="H166" s="10"/>
      <c r="I166" s="10"/>
      <c r="J166" s="10"/>
      <c r="K166" s="10"/>
      <c r="L166" s="10"/>
      <c r="M166" s="1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2:24">
      <c r="B167" s="9"/>
      <c r="C167" s="9"/>
      <c r="D167" s="9"/>
      <c r="E167" s="9"/>
      <c r="F167" s="9"/>
      <c r="G167" s="9"/>
      <c r="H167" s="10"/>
      <c r="I167" s="10"/>
      <c r="J167" s="10"/>
      <c r="K167" s="10"/>
      <c r="L167" s="10"/>
      <c r="M167" s="1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</sheetData>
  <phoneticPr fontId="15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A32B-69EF-49F9-8121-A1A6854B78F3}">
  <dimension ref="B2:Y167"/>
  <sheetViews>
    <sheetView zoomScaleNormal="100" workbookViewId="0">
      <selection activeCell="N22" sqref="N22"/>
    </sheetView>
  </sheetViews>
  <sheetFormatPr defaultColWidth="8.88671875" defaultRowHeight="13.8"/>
  <cols>
    <col min="1" max="1" width="3.33203125" style="2" customWidth="1"/>
    <col min="2" max="2" width="11.44140625" style="2" customWidth="1"/>
    <col min="3" max="3" width="14.5546875" style="2" customWidth="1"/>
    <col min="4" max="4" width="14" style="2" customWidth="1"/>
    <col min="5" max="6" width="15.33203125" style="2" customWidth="1"/>
    <col min="7" max="7" width="13.33203125" style="2" customWidth="1"/>
    <col min="8" max="8" width="12" style="2" customWidth="1"/>
    <col min="9" max="11" width="8.88671875" style="2"/>
    <col min="12" max="12" width="12.5546875" style="2" customWidth="1"/>
    <col min="13" max="13" width="11.44140625" style="2" customWidth="1"/>
    <col min="14" max="16384" width="8.88671875" style="2"/>
  </cols>
  <sheetData>
    <row r="2" spans="2:25" ht="15.6">
      <c r="B2" s="26" t="s">
        <v>45</v>
      </c>
      <c r="C2" s="27"/>
      <c r="D2" s="27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2:25" ht="14.4">
      <c r="B3" s="27"/>
      <c r="C3" s="27"/>
      <c r="D3" s="27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2:25" ht="15">
      <c r="B4" s="28" t="s">
        <v>8</v>
      </c>
      <c r="C4" s="29" t="s">
        <v>26</v>
      </c>
      <c r="D4" s="30">
        <v>10.26</v>
      </c>
      <c r="E4" s="4" t="s">
        <v>27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2:25" ht="15">
      <c r="B5" s="31"/>
      <c r="C5" s="29" t="s">
        <v>28</v>
      </c>
      <c r="D5" s="30">
        <v>40.950000000000003</v>
      </c>
      <c r="E5" s="4" t="s">
        <v>27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2:25" ht="15">
      <c r="B6" s="31"/>
      <c r="C6" s="29" t="s">
        <v>29</v>
      </c>
      <c r="D6" s="30">
        <v>-13.23</v>
      </c>
      <c r="E6" s="4" t="s">
        <v>27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2:25" ht="14.4">
      <c r="B7" s="32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2:25" ht="14.4">
      <c r="B8" s="3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2:25" ht="14.4">
      <c r="B9" s="33" t="s">
        <v>30</v>
      </c>
      <c r="C9" s="34"/>
      <c r="D9" s="34"/>
      <c r="E9" s="34"/>
      <c r="F9" s="34"/>
      <c r="G9" s="34"/>
      <c r="H9" s="34"/>
      <c r="I9" s="34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2:25" ht="16.2">
      <c r="B10"/>
      <c r="C10" s="35" t="s">
        <v>31</v>
      </c>
      <c r="D10" s="36">
        <v>30</v>
      </c>
      <c r="E10"/>
      <c r="F10" s="37" t="s">
        <v>32</v>
      </c>
      <c r="G10"/>
      <c r="H10" s="38">
        <f>D4*COS(RADIANS(D10))^2+D5*SIN(RADIANS(D10))^2-2*D6*SIN(RADIANS(D10))*COS(RADIANS(D10))</f>
        <v>29.390016092068123</v>
      </c>
      <c r="I10" s="4" t="s">
        <v>27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2:25" ht="16.2">
      <c r="B11"/>
      <c r="C11" s="39" t="s">
        <v>33</v>
      </c>
      <c r="D11" s="40">
        <f>D10+90</f>
        <v>120</v>
      </c>
      <c r="E11"/>
      <c r="F11" s="37" t="s">
        <v>34</v>
      </c>
      <c r="G11"/>
      <c r="H11" s="38">
        <f>D4*COS(RADIANS(D11))^2+D5*SIN(RADIANS(D11))^2-2*D6*SIN(RADIANS(D11))*COS(RADIANS(D11))</f>
        <v>21.819983907931885</v>
      </c>
      <c r="I11" s="4" t="s">
        <v>27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2:25" ht="15">
      <c r="B12"/>
      <c r="C12" s="39"/>
      <c r="D12" s="40"/>
      <c r="E12"/>
      <c r="F12" s="41" t="s">
        <v>35</v>
      </c>
      <c r="G12"/>
      <c r="H12" s="38">
        <f>((D4-D5)/2)*SIN(2*RADIANS(D10))+D6*COS(2*RADIANS(D10))</f>
        <v>-19.904159821072213</v>
      </c>
      <c r="I12" s="4" t="s">
        <v>27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2:25" ht="14.4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2:25" ht="14.4">
      <c r="B14" s="33" t="s">
        <v>36</v>
      </c>
      <c r="C14" s="34"/>
      <c r="D14" s="34"/>
      <c r="E14" s="34"/>
      <c r="F14" s="34"/>
      <c r="G14" s="34"/>
      <c r="H14" s="34"/>
      <c r="I14" s="3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2:25" ht="14.4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2:25" ht="16.2">
      <c r="B16"/>
      <c r="C16" s="35" t="s">
        <v>31</v>
      </c>
      <c r="D16" s="36">
        <v>57.113872709454732</v>
      </c>
      <c r="E16"/>
      <c r="F16" s="37" t="s">
        <v>37</v>
      </c>
      <c r="G16"/>
      <c r="H16" s="38">
        <f>D4*COS(RADIANS(D16))^2+D5*SIN(RADIANS(D16))^2-2*D6*SIN(RADIANS(D16))*COS(RADIANS(D16))</f>
        <v>43.9667675021674</v>
      </c>
      <c r="I16" s="4" t="s">
        <v>27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2:25" ht="16.2">
      <c r="B17"/>
      <c r="C17" s="39" t="s">
        <v>33</v>
      </c>
      <c r="D17" s="40">
        <f>D16+90</f>
        <v>147.11387270945474</v>
      </c>
      <c r="E17"/>
      <c r="F17" s="37" t="s">
        <v>34</v>
      </c>
      <c r="G17"/>
      <c r="H17" s="38">
        <f>D4*COS(RADIANS(D17))^2+D5*SIN(RADIANS(D17))^2-2*D6*SIN(RADIANS(D17))*COS(RADIANS(D17))</f>
        <v>7.2432324978326044</v>
      </c>
      <c r="I17" s="4" t="s">
        <v>27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2:25" ht="15">
      <c r="B18"/>
      <c r="C18"/>
      <c r="D18"/>
      <c r="E18"/>
      <c r="F18" s="41" t="s">
        <v>35</v>
      </c>
      <c r="G18"/>
      <c r="H18" s="38">
        <f>((D4-D5)/2)*SIN(2*RADIANS(D16))+D6*COS(2*RADIANS(D16))</f>
        <v>-8.5643107834985379</v>
      </c>
      <c r="I18" s="4" t="s">
        <v>27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2:25" ht="14.4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2:25" ht="14.4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2:25" ht="14.4">
      <c r="B21" s="33" t="s">
        <v>38</v>
      </c>
      <c r="C21" s="34"/>
      <c r="D21" s="34"/>
      <c r="E21" s="34"/>
      <c r="F21" s="34"/>
      <c r="G21" s="34"/>
      <c r="H21" s="34"/>
      <c r="I21" s="34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2:25" ht="15">
      <c r="B22"/>
      <c r="C22" s="35"/>
      <c r="D22" s="35"/>
      <c r="E22" s="35"/>
      <c r="F22" s="42" t="s">
        <v>39</v>
      </c>
      <c r="G22"/>
      <c r="H22" s="38">
        <f>(D4+D5)/2</f>
        <v>25.605</v>
      </c>
      <c r="I22" s="4" t="s">
        <v>27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2:25" ht="14.4">
      <c r="B23"/>
      <c r="C23" s="39"/>
      <c r="D23" s="40"/>
      <c r="E23"/>
      <c r="F23" s="42" t="s">
        <v>3</v>
      </c>
      <c r="G23"/>
      <c r="H23" s="38">
        <f>(D4-D5)/2</f>
        <v>-15.345000000000002</v>
      </c>
      <c r="I23" s="4" t="s">
        <v>27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2:25" ht="14.4">
      <c r="B24"/>
      <c r="C24" s="39"/>
      <c r="D24" s="40"/>
      <c r="E24"/>
      <c r="F24" s="42" t="s">
        <v>0</v>
      </c>
      <c r="G24"/>
      <c r="H24" s="38">
        <f>SQRT((H23^2+D6^2))</f>
        <v>20.260847094827998</v>
      </c>
      <c r="I24" s="4" t="s">
        <v>27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2:25" ht="15">
      <c r="B25"/>
      <c r="C25"/>
      <c r="D25"/>
      <c r="E25"/>
      <c r="F25" s="42" t="s">
        <v>40</v>
      </c>
      <c r="G25"/>
      <c r="H25" s="38">
        <f>H24+H22</f>
        <v>45.865847094827998</v>
      </c>
      <c r="I25" s="4" t="s">
        <v>27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2:25" ht="15">
      <c r="B26"/>
      <c r="C26"/>
      <c r="D26"/>
      <c r="E26"/>
      <c r="F26" s="42" t="s">
        <v>41</v>
      </c>
      <c r="G26"/>
      <c r="H26" s="38">
        <f>H22-H24</f>
        <v>5.3441529051720025</v>
      </c>
      <c r="I26" s="4" t="s">
        <v>27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2:25" ht="15">
      <c r="B27"/>
      <c r="C27"/>
      <c r="D27"/>
      <c r="E27"/>
      <c r="F27" s="43" t="s">
        <v>42</v>
      </c>
      <c r="G27"/>
      <c r="H27" s="44">
        <f>0.5*DEGREES(ATAN(-D6/(H23)))</f>
        <v>-20.383464407403949</v>
      </c>
      <c r="I27" s="4" t="s">
        <v>43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2:25" ht="16.2">
      <c r="B28"/>
      <c r="C28"/>
      <c r="D28"/>
      <c r="E28"/>
      <c r="F28" s="37" t="s">
        <v>44</v>
      </c>
      <c r="G28"/>
      <c r="H28" s="38">
        <f>D4*COS(RADIANS(H27))^2+D5*SIN(RADIANS(H27))^2-2*D6*SIN(RADIANS(H27))*COS(RADIANS(H27))</f>
        <v>5.3441529051720043</v>
      </c>
      <c r="I28" s="4" t="s">
        <v>27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2:25" ht="14.4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2:25" ht="14.4">
      <c r="B30" s="33" t="s">
        <v>47</v>
      </c>
      <c r="C30" s="34"/>
      <c r="D30" s="34"/>
      <c r="E30" s="34"/>
      <c r="F30" s="34"/>
      <c r="G30" s="34"/>
      <c r="H30" s="34"/>
      <c r="I30" s="34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2:25" ht="14.4">
      <c r="B31" s="52" t="s">
        <v>50</v>
      </c>
      <c r="C31" s="53"/>
      <c r="D31" s="53"/>
      <c r="E31" s="53"/>
      <c r="F31" s="53"/>
      <c r="G31" s="53"/>
      <c r="H31" s="53"/>
      <c r="I31" s="53"/>
    </row>
    <row r="32" spans="2:25" ht="16.2">
      <c r="B32" s="9"/>
      <c r="C32" s="41" t="s">
        <v>8</v>
      </c>
      <c r="D32" s="5" t="s">
        <v>9</v>
      </c>
      <c r="E32" s="45">
        <f>D4</f>
        <v>10.26</v>
      </c>
      <c r="F32" s="45">
        <f>D6</f>
        <v>-13.23</v>
      </c>
      <c r="G32" s="1" t="s">
        <v>25</v>
      </c>
      <c r="H32" s="10"/>
      <c r="I32" s="10"/>
      <c r="J32" s="10"/>
      <c r="K32" s="10"/>
      <c r="L32" s="10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2:24" ht="16.2">
      <c r="B33" s="9"/>
      <c r="C33" s="9"/>
      <c r="D33" s="5" t="s">
        <v>10</v>
      </c>
      <c r="E33" s="45">
        <f>D5</f>
        <v>40.950000000000003</v>
      </c>
      <c r="F33" s="45">
        <f>-D6</f>
        <v>13.23</v>
      </c>
      <c r="G33" s="1" t="s">
        <v>25</v>
      </c>
      <c r="H33" s="10"/>
      <c r="I33" s="10"/>
      <c r="J33" s="10"/>
      <c r="K33" s="10"/>
      <c r="L33" s="10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 ht="16.2">
      <c r="B34" s="9"/>
      <c r="C34" s="9"/>
      <c r="D34" s="5" t="s">
        <v>11</v>
      </c>
      <c r="E34" s="45">
        <f>D6</f>
        <v>-13.23</v>
      </c>
      <c r="F34" s="1" t="s">
        <v>25</v>
      </c>
      <c r="H34" s="10"/>
      <c r="I34" s="10"/>
      <c r="J34" s="10"/>
      <c r="K34" s="10"/>
      <c r="L34" s="10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2:24">
      <c r="B35" s="9"/>
      <c r="C35" s="9"/>
      <c r="D35" s="9"/>
      <c r="E35" s="7"/>
      <c r="F35" s="7"/>
      <c r="G35" s="9"/>
      <c r="H35" s="10"/>
      <c r="I35" s="10"/>
      <c r="J35" s="10"/>
      <c r="K35" s="10"/>
      <c r="L35" s="10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2:24" ht="15.6">
      <c r="B36" s="9"/>
      <c r="C36" s="9"/>
      <c r="D36" s="6" t="s">
        <v>12</v>
      </c>
      <c r="E36" s="54">
        <f>D10</f>
        <v>30</v>
      </c>
      <c r="F36" s="7" t="s">
        <v>51</v>
      </c>
      <c r="G36" s="9"/>
      <c r="H36" s="10"/>
      <c r="I36" s="10"/>
      <c r="J36" s="10"/>
      <c r="K36" s="10"/>
      <c r="L36" s="10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2:24">
      <c r="B37" s="9"/>
      <c r="C37" s="9"/>
      <c r="D37" s="9"/>
      <c r="E37" s="9"/>
      <c r="F37" s="9"/>
      <c r="G37" s="9"/>
      <c r="H37" s="10"/>
      <c r="I37" s="1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2:24">
      <c r="B38" s="9"/>
      <c r="C38" s="9"/>
      <c r="D38" s="9"/>
      <c r="E38" s="9"/>
      <c r="F38" s="9"/>
      <c r="G38" s="9"/>
      <c r="H38" s="10"/>
      <c r="I38" s="10"/>
      <c r="J38" s="10"/>
      <c r="K38" s="10"/>
      <c r="L38" s="11"/>
      <c r="M38" s="1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2:24">
      <c r="B39" s="9"/>
      <c r="C39" s="41" t="s">
        <v>1</v>
      </c>
      <c r="D39" s="9"/>
      <c r="E39" s="5" t="s">
        <v>2</v>
      </c>
      <c r="F39" s="45">
        <f>(E32+E33)/2</f>
        <v>25.605</v>
      </c>
      <c r="G39" s="9"/>
      <c r="H39" s="10"/>
      <c r="I39" s="10"/>
      <c r="J39" s="10"/>
      <c r="K39" s="10"/>
      <c r="L39" s="10"/>
      <c r="M39" s="1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2:24">
      <c r="B40" s="9"/>
      <c r="C40" s="9"/>
      <c r="D40" s="9"/>
      <c r="E40" s="5" t="s">
        <v>3</v>
      </c>
      <c r="F40" s="45">
        <f>(E32-E33)/2</f>
        <v>-15.345000000000002</v>
      </c>
      <c r="G40" s="9"/>
      <c r="H40" s="10"/>
      <c r="I40" s="10"/>
      <c r="J40" s="10"/>
      <c r="K40" s="10"/>
      <c r="L40" s="10"/>
      <c r="M40" s="1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2:24" ht="15.6">
      <c r="B41" s="9"/>
      <c r="C41" s="9"/>
      <c r="D41" s="9"/>
      <c r="E41" s="6" t="s">
        <v>13</v>
      </c>
      <c r="F41" s="14">
        <f>E36+90</f>
        <v>120</v>
      </c>
      <c r="G41" s="9"/>
      <c r="H41" s="10"/>
      <c r="I41" s="10"/>
      <c r="J41" s="10"/>
      <c r="K41" s="10"/>
      <c r="L41" s="10"/>
      <c r="M41" s="1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2:24"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2:24" ht="15">
      <c r="B43" s="9"/>
      <c r="C43" s="41" t="s">
        <v>46</v>
      </c>
      <c r="D43" s="9"/>
      <c r="E43" s="9"/>
      <c r="F43" s="9"/>
      <c r="G43" s="9"/>
      <c r="H43" s="10"/>
      <c r="I43" s="10"/>
      <c r="J43" s="10"/>
      <c r="K43" s="10"/>
      <c r="L43" s="10"/>
      <c r="M43" s="1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2:24" ht="16.2">
      <c r="B44" s="9"/>
      <c r="C44" s="9"/>
      <c r="D44" s="5" t="s">
        <v>7</v>
      </c>
      <c r="E44" s="45">
        <f>$F$39+$F$40*COS(2*RADIANS($E$36))-E34*SIN(2*RADIANS($E$36))</f>
        <v>29.390016092068123</v>
      </c>
      <c r="F44" s="46">
        <f>E46</f>
        <v>-19.904159821072213</v>
      </c>
      <c r="G44" s="1" t="s">
        <v>25</v>
      </c>
      <c r="H44" s="10"/>
      <c r="I44" s="10"/>
      <c r="J44" s="10"/>
      <c r="K44" s="10"/>
      <c r="L44" s="10"/>
      <c r="M44" s="1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2:24" ht="16.2">
      <c r="B45" s="9"/>
      <c r="C45" s="9"/>
      <c r="D45" s="5" t="s">
        <v>14</v>
      </c>
      <c r="E45" s="45">
        <f>$F$39-$F$40*COS(2*RADIANS($E$36))+E34*SIN(2*RADIANS($E$36))</f>
        <v>21.819983907931878</v>
      </c>
      <c r="F45" s="46">
        <f>-E46</f>
        <v>19.904159821072213</v>
      </c>
      <c r="G45" s="1" t="s">
        <v>25</v>
      </c>
      <c r="H45" s="10"/>
      <c r="I45" s="10"/>
      <c r="J45" s="10"/>
      <c r="K45" s="10"/>
      <c r="L45" s="10"/>
      <c r="M45" s="1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2:24" ht="16.2">
      <c r="B46" s="9"/>
      <c r="C46" s="9"/>
      <c r="D46" s="5" t="s">
        <v>15</v>
      </c>
      <c r="E46" s="45">
        <f>$E$34*COS(2*RADIANS($E$36))+$F$40*SIN(2*RADIANS($E$36))</f>
        <v>-19.904159821072213</v>
      </c>
      <c r="F46" s="1" t="s">
        <v>25</v>
      </c>
      <c r="G46" s="9"/>
      <c r="H46" s="10"/>
      <c r="I46" s="10"/>
      <c r="J46" s="10"/>
      <c r="K46" s="10"/>
      <c r="L46" s="10"/>
      <c r="M46" s="1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2:24">
      <c r="B47" s="9"/>
      <c r="C47" s="9"/>
      <c r="D47" s="9"/>
      <c r="E47" s="9"/>
      <c r="F47" s="9"/>
      <c r="G47" s="9"/>
      <c r="H47" s="10"/>
      <c r="I47" s="10"/>
      <c r="J47" s="10"/>
      <c r="K47" s="10"/>
      <c r="L47" s="10"/>
      <c r="M47" s="1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2:24">
      <c r="B48" s="9"/>
      <c r="C48" s="41" t="s">
        <v>4</v>
      </c>
      <c r="D48" s="9"/>
      <c r="E48" s="15" t="s">
        <v>5</v>
      </c>
      <c r="F48" s="5" t="s">
        <v>2</v>
      </c>
      <c r="G48" s="45">
        <f>F39</f>
        <v>25.605</v>
      </c>
      <c r="H48" s="16">
        <v>0</v>
      </c>
      <c r="I48" s="10"/>
      <c r="J48" s="10"/>
      <c r="K48" s="10"/>
      <c r="L48" s="10"/>
      <c r="M48" s="1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2:24">
      <c r="B49" s="9"/>
      <c r="C49" s="9"/>
      <c r="D49" s="9"/>
      <c r="E49" s="15" t="s">
        <v>0</v>
      </c>
      <c r="F49" s="5"/>
      <c r="G49" s="45">
        <f>(F40^2+E34^2)^0.5</f>
        <v>20.260847094827998</v>
      </c>
      <c r="H49" s="10"/>
      <c r="I49" s="10"/>
      <c r="J49" s="10"/>
      <c r="K49" s="10"/>
      <c r="L49" s="10"/>
      <c r="M49" s="1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2:24">
      <c r="B50" s="9"/>
      <c r="C50" s="9"/>
      <c r="D50" s="9"/>
      <c r="E50" s="9"/>
      <c r="F50" s="9"/>
      <c r="G50" s="9"/>
      <c r="H50" s="10"/>
      <c r="I50" s="10"/>
      <c r="J50" s="10"/>
      <c r="K50" s="10"/>
      <c r="L50" s="10"/>
      <c r="M50" s="1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2:24" ht="16.2">
      <c r="B51" s="9"/>
      <c r="C51" s="9"/>
      <c r="D51" s="9"/>
      <c r="E51" s="15" t="s">
        <v>16</v>
      </c>
      <c r="F51" s="45">
        <f>G48+G49</f>
        <v>45.865847094827998</v>
      </c>
      <c r="G51" s="1" t="s">
        <v>25</v>
      </c>
      <c r="H51" s="10"/>
      <c r="I51" s="10"/>
      <c r="J51" s="10"/>
      <c r="K51" s="10"/>
      <c r="L51" s="10"/>
      <c r="M51" s="1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2:24" ht="16.2">
      <c r="B52" s="9"/>
      <c r="C52" s="9"/>
      <c r="D52" s="9"/>
      <c r="E52" s="15" t="s">
        <v>17</v>
      </c>
      <c r="F52" s="45">
        <f>G48-G49</f>
        <v>5.3441529051720025</v>
      </c>
      <c r="G52" s="1" t="s">
        <v>25</v>
      </c>
      <c r="H52" s="10"/>
      <c r="I52" s="10"/>
      <c r="J52" s="10"/>
      <c r="K52" s="10"/>
      <c r="L52" s="10"/>
      <c r="M52" s="1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2:24" ht="15.6">
      <c r="B53" s="9"/>
      <c r="C53" s="9"/>
      <c r="D53" s="9"/>
      <c r="E53" s="6" t="s">
        <v>6</v>
      </c>
      <c r="F53" s="47">
        <f>0.5*ATAN(-E34/(F40+0.001))*180/PI()</f>
        <v>-20.384387730113666</v>
      </c>
      <c r="G53" s="9"/>
      <c r="H53" s="10"/>
      <c r="I53" s="10"/>
      <c r="J53" s="3" t="s">
        <v>18</v>
      </c>
      <c r="K53" s="10"/>
      <c r="L53" s="10"/>
      <c r="M53" s="1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2:24">
      <c r="B54" s="9"/>
      <c r="C54" s="9"/>
      <c r="D54" s="9"/>
      <c r="E54" s="9"/>
      <c r="F54" s="9"/>
      <c r="G54" s="9"/>
      <c r="H54" s="10"/>
      <c r="I54" s="10"/>
      <c r="J54" s="17"/>
      <c r="K54" s="18" t="s">
        <v>19</v>
      </c>
      <c r="L54" s="19"/>
      <c r="M54" s="2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2:24">
      <c r="B55" s="9"/>
      <c r="C55" s="9"/>
      <c r="D55" s="9"/>
      <c r="E55" s="9"/>
      <c r="F55" s="9"/>
      <c r="G55" s="9"/>
      <c r="H55" s="10"/>
      <c r="I55" s="10"/>
      <c r="J55" s="21" t="s">
        <v>20</v>
      </c>
      <c r="K55" s="22" t="s">
        <v>21</v>
      </c>
      <c r="L55" s="23" t="s">
        <v>22</v>
      </c>
      <c r="M55" s="22" t="s">
        <v>23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2:24">
      <c r="B56" s="9"/>
      <c r="C56" s="9"/>
      <c r="D56" s="9"/>
      <c r="E56" s="9"/>
      <c r="F56" s="9"/>
      <c r="G56" s="9"/>
      <c r="H56" s="10"/>
      <c r="I56" s="10"/>
      <c r="J56" s="10">
        <v>1</v>
      </c>
      <c r="K56" s="10">
        <v>0</v>
      </c>
      <c r="L56" s="24">
        <f>F51</f>
        <v>45.865847094827998</v>
      </c>
      <c r="M56" s="25">
        <f>$G$49*SIN(RADIANS(K56))</f>
        <v>0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2:24">
      <c r="B57" s="9"/>
      <c r="C57" s="9"/>
      <c r="D57" s="9"/>
      <c r="E57" s="9"/>
      <c r="F57" s="9"/>
      <c r="G57" s="9"/>
      <c r="H57" s="10"/>
      <c r="I57" s="10"/>
      <c r="J57" s="10">
        <v>2</v>
      </c>
      <c r="K57" s="10">
        <v>5</v>
      </c>
      <c r="L57" s="24">
        <f>$G$48+$G$49*COS(RADIANS(K57))</f>
        <v>45.788748454715197</v>
      </c>
      <c r="M57" s="25">
        <f>$G$49*SIN(RADIANS(K57))</f>
        <v>1.7658491772464664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2:24">
      <c r="B58" s="9"/>
      <c r="C58" s="9"/>
      <c r="D58" s="9"/>
      <c r="E58" s="9"/>
      <c r="F58" s="9"/>
      <c r="G58" s="9"/>
      <c r="H58" s="10"/>
      <c r="I58" s="10"/>
      <c r="J58" s="10">
        <v>3</v>
      </c>
      <c r="K58" s="10">
        <v>10</v>
      </c>
      <c r="L58" s="24">
        <f t="shared" ref="L58:L121" si="0">$G$48+$G$49*COS(RADIANS(K58))</f>
        <v>45.558039301581488</v>
      </c>
      <c r="M58" s="25">
        <f t="shared" ref="M58:M121" si="1">$G$49*SIN(RADIANS(K58))</f>
        <v>3.5182591760052015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2:24">
      <c r="B59" s="9"/>
      <c r="C59" s="9"/>
      <c r="D59" s="9"/>
      <c r="E59" s="9"/>
      <c r="F59" s="9"/>
      <c r="G59" s="9"/>
      <c r="H59" s="10"/>
      <c r="I59" s="10"/>
      <c r="J59" s="10">
        <v>4</v>
      </c>
      <c r="K59" s="10">
        <v>15</v>
      </c>
      <c r="L59" s="24">
        <f t="shared" si="0"/>
        <v>45.175475471388204</v>
      </c>
      <c r="M59" s="25">
        <f t="shared" si="1"/>
        <v>5.2438930980515641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2:24">
      <c r="B60" s="9"/>
      <c r="C60" s="9"/>
      <c r="D60" s="9"/>
      <c r="E60" s="9"/>
      <c r="F60" s="9"/>
      <c r="G60" s="9"/>
      <c r="H60" s="10"/>
      <c r="I60" s="10"/>
      <c r="J60" s="10">
        <v>5</v>
      </c>
      <c r="K60" s="10">
        <v>20</v>
      </c>
      <c r="L60" s="24">
        <f t="shared" si="0"/>
        <v>44.643968505881482</v>
      </c>
      <c r="M60" s="25">
        <f t="shared" si="1"/>
        <v>6.9296178272725308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2:24">
      <c r="B61" s="9"/>
      <c r="C61" s="9"/>
      <c r="D61" s="9"/>
      <c r="E61" s="9"/>
      <c r="F61" s="9"/>
      <c r="G61" s="9"/>
      <c r="H61" s="10"/>
      <c r="I61" s="10"/>
      <c r="J61" s="10">
        <v>6</v>
      </c>
      <c r="K61" s="10">
        <v>25</v>
      </c>
      <c r="L61" s="24">
        <f t="shared" si="0"/>
        <v>43.967563494001496</v>
      </c>
      <c r="M61" s="25">
        <f t="shared" si="1"/>
        <v>8.5626039806103087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2:24">
      <c r="B62" s="9"/>
      <c r="C62" s="9"/>
      <c r="D62" s="9"/>
      <c r="E62" s="9"/>
      <c r="F62" s="9"/>
      <c r="G62" s="9"/>
      <c r="H62" s="10"/>
      <c r="I62" s="10"/>
      <c r="J62" s="10">
        <v>7</v>
      </c>
      <c r="K62" s="10">
        <v>30</v>
      </c>
      <c r="L62" s="24">
        <f t="shared" si="0"/>
        <v>43.151408286313185</v>
      </c>
      <c r="M62" s="25">
        <f t="shared" si="1"/>
        <v>10.130423547413997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2:24">
      <c r="B63" s="9"/>
      <c r="C63" s="9"/>
      <c r="D63" s="9"/>
      <c r="E63" s="9"/>
      <c r="F63" s="9"/>
      <c r="G63" s="9"/>
      <c r="H63" s="10"/>
      <c r="I63" s="10"/>
      <c r="J63" s="10">
        <v>8</v>
      </c>
      <c r="K63" s="10">
        <v>35</v>
      </c>
      <c r="L63" s="24">
        <f t="shared" si="0"/>
        <v>42.20171431675503</v>
      </c>
      <c r="M63" s="25">
        <f t="shared" si="1"/>
        <v>11.621144474104888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2:24">
      <c r="B64" s="9"/>
      <c r="C64" s="9"/>
      <c r="D64" s="9"/>
      <c r="E64" s="9"/>
      <c r="F64" s="9"/>
      <c r="G64" s="9"/>
      <c r="H64" s="10"/>
      <c r="I64" s="10"/>
      <c r="J64" s="10">
        <v>9</v>
      </c>
      <c r="K64" s="10">
        <v>40</v>
      </c>
      <c r="L64" s="24">
        <f t="shared" si="0"/>
        <v>41.12570932987628</v>
      </c>
      <c r="M64" s="25">
        <f t="shared" si="1"/>
        <v>13.023421474308952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2:24">
      <c r="B65" s="9"/>
      <c r="C65" s="9"/>
      <c r="D65" s="9"/>
      <c r="E65" s="9"/>
      <c r="F65" s="9"/>
      <c r="G65" s="9"/>
      <c r="H65" s="10"/>
      <c r="I65" s="10"/>
      <c r="J65" s="10">
        <v>10</v>
      </c>
      <c r="K65" s="10">
        <v>45</v>
      </c>
      <c r="L65" s="24">
        <f t="shared" si="0"/>
        <v>39.931582373336639</v>
      </c>
      <c r="M65" s="25">
        <f t="shared" si="1"/>
        <v>14.326582373336636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2:24">
      <c r="B66" s="9"/>
      <c r="C66" s="9"/>
      <c r="D66" s="9"/>
      <c r="E66" s="9"/>
      <c r="F66" s="9"/>
      <c r="G66" s="9"/>
      <c r="H66" s="10"/>
      <c r="I66" s="10"/>
      <c r="J66" s="10">
        <v>11</v>
      </c>
      <c r="K66" s="10">
        <v>50</v>
      </c>
      <c r="L66" s="24">
        <f t="shared" si="0"/>
        <v>38.628421474308951</v>
      </c>
      <c r="M66" s="25">
        <f t="shared" si="1"/>
        <v>15.520709329876277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2:24">
      <c r="B67" s="9"/>
      <c r="C67" s="9"/>
      <c r="D67" s="9"/>
      <c r="E67" s="9"/>
      <c r="F67" s="9"/>
      <c r="G67" s="9"/>
      <c r="H67" s="10"/>
      <c r="I67" s="10"/>
      <c r="J67" s="10">
        <v>12</v>
      </c>
      <c r="K67" s="10">
        <v>55</v>
      </c>
      <c r="L67" s="24">
        <f t="shared" si="0"/>
        <v>37.226144474104892</v>
      </c>
      <c r="M67" s="25">
        <f t="shared" si="1"/>
        <v>16.596714316755033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2:24">
      <c r="B68" s="9"/>
      <c r="C68" s="9"/>
      <c r="D68" s="9"/>
      <c r="E68" s="9"/>
      <c r="F68" s="9"/>
      <c r="G68" s="9"/>
      <c r="H68" s="10"/>
      <c r="I68" s="10"/>
      <c r="J68" s="10">
        <v>13</v>
      </c>
      <c r="K68" s="10">
        <v>60</v>
      </c>
      <c r="L68" s="24">
        <f t="shared" si="0"/>
        <v>35.735423547414001</v>
      </c>
      <c r="M68" s="25">
        <f t="shared" si="1"/>
        <v>17.546408286313188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2:24">
      <c r="B69" s="9"/>
      <c r="C69" s="9"/>
      <c r="D69" s="9"/>
      <c r="E69" s="9"/>
      <c r="F69" s="9"/>
      <c r="G69" s="9"/>
      <c r="H69" s="10"/>
      <c r="I69" s="10"/>
      <c r="J69" s="10">
        <v>14</v>
      </c>
      <c r="K69" s="10">
        <v>65</v>
      </c>
      <c r="L69" s="24">
        <f t="shared" si="0"/>
        <v>34.167603980610309</v>
      </c>
      <c r="M69" s="25">
        <f t="shared" si="1"/>
        <v>18.362563494001499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2:24">
      <c r="B70" s="9"/>
      <c r="C70" s="9"/>
      <c r="D70" s="9"/>
      <c r="E70" s="9"/>
      <c r="F70" s="9"/>
      <c r="G70" s="9"/>
      <c r="H70" s="10"/>
      <c r="I70" s="10"/>
      <c r="J70" s="10">
        <v>15</v>
      </c>
      <c r="K70" s="10">
        <v>70</v>
      </c>
      <c r="L70" s="24">
        <f t="shared" si="0"/>
        <v>32.534617827272534</v>
      </c>
      <c r="M70" s="25">
        <f t="shared" si="1"/>
        <v>19.038968505881478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2:24">
      <c r="B71" s="9"/>
      <c r="C71" s="9"/>
      <c r="D71" s="9"/>
      <c r="E71" s="9"/>
      <c r="F71" s="9"/>
      <c r="G71" s="9"/>
      <c r="H71" s="10"/>
      <c r="I71" s="10"/>
      <c r="J71" s="10">
        <v>16</v>
      </c>
      <c r="K71" s="10">
        <v>75</v>
      </c>
      <c r="L71" s="24">
        <f t="shared" si="0"/>
        <v>30.848893098051565</v>
      </c>
      <c r="M71" s="25">
        <f t="shared" si="1"/>
        <v>19.570475471388203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2:24">
      <c r="B72" s="9"/>
      <c r="C72" s="9"/>
      <c r="D72" s="9"/>
      <c r="E72" s="9"/>
      <c r="F72" s="9"/>
      <c r="G72" s="9"/>
      <c r="H72" s="10"/>
      <c r="I72" s="10"/>
      <c r="J72" s="10">
        <v>17</v>
      </c>
      <c r="K72" s="10">
        <v>80</v>
      </c>
      <c r="L72" s="24">
        <f t="shared" si="0"/>
        <v>29.123259176005202</v>
      </c>
      <c r="M72" s="25">
        <f t="shared" si="1"/>
        <v>19.953039301581484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2:24">
      <c r="B73" s="9"/>
      <c r="C73" s="9"/>
      <c r="D73" s="9"/>
      <c r="E73" s="9"/>
      <c r="F73" s="9"/>
      <c r="G73" s="9"/>
      <c r="H73" s="10"/>
      <c r="I73" s="10"/>
      <c r="J73" s="10">
        <v>18</v>
      </c>
      <c r="K73" s="10">
        <v>85</v>
      </c>
      <c r="L73" s="24">
        <f t="shared" si="0"/>
        <v>27.370849177246466</v>
      </c>
      <c r="M73" s="25">
        <f t="shared" si="1"/>
        <v>20.183748454715197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2:24">
      <c r="B74" s="9"/>
      <c r="C74" s="9"/>
      <c r="D74" s="9"/>
      <c r="E74" s="9"/>
      <c r="F74" s="9"/>
      <c r="G74" s="9"/>
      <c r="H74" s="10"/>
      <c r="I74" s="10"/>
      <c r="J74" s="10">
        <v>19</v>
      </c>
      <c r="K74" s="10">
        <v>90</v>
      </c>
      <c r="L74" s="24">
        <f t="shared" si="0"/>
        <v>25.605</v>
      </c>
      <c r="M74" s="25">
        <f t="shared" si="1"/>
        <v>20.260847094827998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2:24">
      <c r="B75" s="9"/>
      <c r="C75" s="9"/>
      <c r="D75" s="9"/>
      <c r="E75" s="9"/>
      <c r="F75" s="9"/>
      <c r="G75" s="9"/>
      <c r="H75" s="10"/>
      <c r="I75" s="10"/>
      <c r="J75" s="10">
        <v>20</v>
      </c>
      <c r="K75" s="10">
        <v>95</v>
      </c>
      <c r="L75" s="24">
        <f t="shared" si="0"/>
        <v>23.839150822753531</v>
      </c>
      <c r="M75" s="25">
        <f t="shared" si="1"/>
        <v>20.183748454715197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2:24">
      <c r="B76" s="9"/>
      <c r="C76" s="9"/>
      <c r="D76" s="9"/>
      <c r="E76" s="9"/>
      <c r="F76" s="9"/>
      <c r="G76" s="9"/>
      <c r="H76" s="10"/>
      <c r="I76" s="10"/>
      <c r="J76" s="10">
        <v>21</v>
      </c>
      <c r="K76" s="10">
        <v>100</v>
      </c>
      <c r="L76" s="24">
        <f t="shared" si="0"/>
        <v>22.086740823994798</v>
      </c>
      <c r="M76" s="25">
        <f t="shared" si="1"/>
        <v>19.953039301581484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2:24">
      <c r="B77" s="9"/>
      <c r="C77" s="9"/>
      <c r="D77" s="9"/>
      <c r="E77" s="9"/>
      <c r="F77" s="9"/>
      <c r="G77" s="9"/>
      <c r="H77" s="10"/>
      <c r="I77" s="10"/>
      <c r="J77" s="10">
        <v>22</v>
      </c>
      <c r="K77" s="10">
        <v>105</v>
      </c>
      <c r="L77" s="24">
        <f t="shared" si="0"/>
        <v>20.361106901948435</v>
      </c>
      <c r="M77" s="25">
        <f t="shared" si="1"/>
        <v>19.570475471388203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2:24">
      <c r="B78" s="9"/>
      <c r="C78" s="9"/>
      <c r="D78" s="9"/>
      <c r="E78" s="9"/>
      <c r="F78" s="9"/>
      <c r="G78" s="9"/>
      <c r="H78" s="10"/>
      <c r="I78" s="10"/>
      <c r="J78" s="10">
        <v>23</v>
      </c>
      <c r="K78" s="10">
        <v>110</v>
      </c>
      <c r="L78" s="24">
        <f t="shared" si="0"/>
        <v>18.67538217272747</v>
      </c>
      <c r="M78" s="25">
        <f t="shared" si="1"/>
        <v>19.038968505881481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2:24">
      <c r="B79" s="9"/>
      <c r="C79" s="9"/>
      <c r="D79" s="9"/>
      <c r="E79" s="9"/>
      <c r="F79" s="9"/>
      <c r="G79" s="9"/>
      <c r="H79" s="10"/>
      <c r="I79" s="10"/>
      <c r="J79" s="10">
        <v>24</v>
      </c>
      <c r="K79" s="10">
        <v>115</v>
      </c>
      <c r="L79" s="24">
        <f t="shared" si="0"/>
        <v>17.042396019389692</v>
      </c>
      <c r="M79" s="25">
        <f t="shared" si="1"/>
        <v>18.362563494001503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2:24">
      <c r="B80" s="9"/>
      <c r="C80" s="9"/>
      <c r="D80" s="9"/>
      <c r="E80" s="9"/>
      <c r="F80" s="9"/>
      <c r="G80" s="9"/>
      <c r="H80" s="10"/>
      <c r="I80" s="10"/>
      <c r="J80" s="10">
        <v>25</v>
      </c>
      <c r="K80" s="10">
        <v>120</v>
      </c>
      <c r="L80" s="24">
        <f t="shared" si="0"/>
        <v>15.474576452586007</v>
      </c>
      <c r="M80" s="25">
        <f t="shared" si="1"/>
        <v>17.546408286313188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2:24">
      <c r="B81" s="9"/>
      <c r="C81" s="9"/>
      <c r="D81" s="9"/>
      <c r="E81" s="9"/>
      <c r="F81" s="9"/>
      <c r="G81" s="9"/>
      <c r="H81" s="10"/>
      <c r="I81" s="10"/>
      <c r="J81" s="10">
        <v>26</v>
      </c>
      <c r="K81" s="10">
        <v>125</v>
      </c>
      <c r="L81" s="24">
        <f t="shared" si="0"/>
        <v>13.983855525895111</v>
      </c>
      <c r="M81" s="25">
        <f t="shared" si="1"/>
        <v>16.596714316755033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2:24">
      <c r="B82" s="9"/>
      <c r="C82" s="9"/>
      <c r="D82" s="9"/>
      <c r="E82" s="9"/>
      <c r="F82" s="9"/>
      <c r="G82" s="9"/>
      <c r="H82" s="10"/>
      <c r="I82" s="10"/>
      <c r="J82" s="10">
        <v>27</v>
      </c>
      <c r="K82" s="10">
        <v>130</v>
      </c>
      <c r="L82" s="24">
        <f t="shared" si="0"/>
        <v>12.581578525691047</v>
      </c>
      <c r="M82" s="25">
        <f t="shared" si="1"/>
        <v>15.520709329876277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2:24">
      <c r="B83" s="9"/>
      <c r="C83" s="9"/>
      <c r="D83" s="9"/>
      <c r="E83" s="9"/>
      <c r="F83" s="9"/>
      <c r="G83" s="9"/>
      <c r="H83" s="10"/>
      <c r="I83" s="10"/>
      <c r="J83" s="10">
        <v>28</v>
      </c>
      <c r="K83" s="10">
        <v>135</v>
      </c>
      <c r="L83" s="24">
        <f t="shared" si="0"/>
        <v>11.278417626663364</v>
      </c>
      <c r="M83" s="25">
        <f t="shared" si="1"/>
        <v>14.32658237333664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2:24">
      <c r="B84" s="9"/>
      <c r="C84" s="9"/>
      <c r="D84" s="9"/>
      <c r="E84" s="9"/>
      <c r="F84" s="9"/>
      <c r="G84" s="9"/>
      <c r="H84" s="10"/>
      <c r="I84" s="10"/>
      <c r="J84" s="10">
        <v>29</v>
      </c>
      <c r="K84" s="10">
        <v>140</v>
      </c>
      <c r="L84" s="24">
        <f t="shared" si="0"/>
        <v>10.084290670123725</v>
      </c>
      <c r="M84" s="25">
        <f t="shared" si="1"/>
        <v>13.023421474308956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2:24">
      <c r="B85" s="9"/>
      <c r="C85" s="9"/>
      <c r="D85" s="9"/>
      <c r="E85" s="9"/>
      <c r="F85" s="9"/>
      <c r="G85" s="9"/>
      <c r="H85" s="10"/>
      <c r="I85" s="10"/>
      <c r="J85" s="10">
        <v>30</v>
      </c>
      <c r="K85" s="10">
        <v>145</v>
      </c>
      <c r="L85" s="24">
        <f t="shared" si="0"/>
        <v>9.0082856832449636</v>
      </c>
      <c r="M85" s="25">
        <f t="shared" si="1"/>
        <v>11.621144474104884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2:24">
      <c r="B86" s="9"/>
      <c r="C86" s="9"/>
      <c r="D86" s="9"/>
      <c r="E86" s="9"/>
      <c r="F86" s="9"/>
      <c r="G86" s="9"/>
      <c r="H86" s="10"/>
      <c r="I86" s="10"/>
      <c r="J86" s="10">
        <v>31</v>
      </c>
      <c r="K86" s="10">
        <v>150</v>
      </c>
      <c r="L86" s="24">
        <f t="shared" si="0"/>
        <v>8.0585917136868126</v>
      </c>
      <c r="M86" s="25">
        <f t="shared" si="1"/>
        <v>10.130423547413997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2:24">
      <c r="B87" s="9"/>
      <c r="C87" s="9"/>
      <c r="D87" s="9"/>
      <c r="E87" s="9"/>
      <c r="F87" s="9"/>
      <c r="G87" s="9"/>
      <c r="H87" s="10"/>
      <c r="I87" s="10"/>
      <c r="J87" s="10">
        <v>32</v>
      </c>
      <c r="K87" s="10">
        <v>155</v>
      </c>
      <c r="L87" s="24">
        <f t="shared" si="0"/>
        <v>7.2424365059985014</v>
      </c>
      <c r="M87" s="25">
        <f t="shared" si="1"/>
        <v>8.5626039806103105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2:24">
      <c r="B88" s="9"/>
      <c r="C88" s="9"/>
      <c r="D88" s="9"/>
      <c r="E88" s="9"/>
      <c r="F88" s="9"/>
      <c r="G88" s="9"/>
      <c r="H88" s="10"/>
      <c r="I88" s="10"/>
      <c r="J88" s="10">
        <v>33</v>
      </c>
      <c r="K88" s="10">
        <v>160</v>
      </c>
      <c r="L88" s="24">
        <f t="shared" si="0"/>
        <v>6.5660314941185227</v>
      </c>
      <c r="M88" s="25">
        <f t="shared" si="1"/>
        <v>6.9296178272725335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2:24">
      <c r="B89" s="9"/>
      <c r="C89" s="9"/>
      <c r="D89" s="9"/>
      <c r="E89" s="9"/>
      <c r="F89" s="9"/>
      <c r="G89" s="9"/>
      <c r="H89" s="10"/>
      <c r="I89" s="10"/>
      <c r="J89" s="10">
        <v>34</v>
      </c>
      <c r="K89" s="10">
        <v>165</v>
      </c>
      <c r="L89" s="24">
        <f t="shared" si="0"/>
        <v>6.0345245286118008</v>
      </c>
      <c r="M89" s="25">
        <f t="shared" si="1"/>
        <v>5.2438930980515694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2:24">
      <c r="B90" s="9"/>
      <c r="C90" s="9"/>
      <c r="D90" s="9"/>
      <c r="E90" s="9"/>
      <c r="F90" s="9"/>
      <c r="G90" s="9"/>
      <c r="H90" s="10"/>
      <c r="I90" s="10"/>
      <c r="J90" s="10">
        <v>35</v>
      </c>
      <c r="K90" s="10">
        <v>170</v>
      </c>
      <c r="L90" s="24">
        <f t="shared" si="0"/>
        <v>5.6519606984185167</v>
      </c>
      <c r="M90" s="25">
        <f t="shared" si="1"/>
        <v>3.5182591760052002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2:24">
      <c r="B91" s="9"/>
      <c r="C91" s="9"/>
      <c r="D91" s="9"/>
      <c r="E91" s="9"/>
      <c r="F91" s="9"/>
      <c r="G91" s="9"/>
      <c r="H91" s="10"/>
      <c r="I91" s="10"/>
      <c r="J91" s="10">
        <v>36</v>
      </c>
      <c r="K91" s="10">
        <v>175</v>
      </c>
      <c r="L91" s="24">
        <f t="shared" si="0"/>
        <v>5.4212515452848038</v>
      </c>
      <c r="M91" s="25">
        <f t="shared" si="1"/>
        <v>1.7658491772464668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2:24">
      <c r="B92" s="9"/>
      <c r="C92" s="9"/>
      <c r="D92" s="9"/>
      <c r="E92" s="9"/>
      <c r="F92" s="9"/>
      <c r="G92" s="9"/>
      <c r="H92" s="10"/>
      <c r="I92" s="10"/>
      <c r="J92" s="10">
        <v>37</v>
      </c>
      <c r="K92" s="10">
        <v>180</v>
      </c>
      <c r="L92" s="24">
        <f t="shared" si="0"/>
        <v>5.3441529051720025</v>
      </c>
      <c r="M92" s="25">
        <f t="shared" si="1"/>
        <v>2.4822545513368325E-15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2:24">
      <c r="B93" s="9"/>
      <c r="C93" s="9"/>
      <c r="D93" s="9"/>
      <c r="E93" s="9"/>
      <c r="F93" s="9"/>
      <c r="G93" s="9"/>
      <c r="H93" s="10"/>
      <c r="I93" s="10"/>
      <c r="J93" s="10">
        <v>38</v>
      </c>
      <c r="K93" s="10">
        <v>185</v>
      </c>
      <c r="L93" s="24">
        <f t="shared" si="0"/>
        <v>5.4212515452848038</v>
      </c>
      <c r="M93" s="25">
        <f t="shared" si="1"/>
        <v>-1.7658491772464617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2:24">
      <c r="B94" s="9"/>
      <c r="C94" s="9"/>
      <c r="D94" s="9"/>
      <c r="E94" s="9"/>
      <c r="F94" s="9"/>
      <c r="G94" s="9"/>
      <c r="H94" s="10"/>
      <c r="I94" s="10"/>
      <c r="J94" s="10">
        <v>39</v>
      </c>
      <c r="K94" s="10">
        <v>190</v>
      </c>
      <c r="L94" s="24">
        <f t="shared" si="0"/>
        <v>5.6519606984185167</v>
      </c>
      <c r="M94" s="25">
        <f t="shared" si="1"/>
        <v>-3.5182591760052042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2:24">
      <c r="B95" s="9"/>
      <c r="C95" s="9"/>
      <c r="D95" s="9"/>
      <c r="E95" s="9"/>
      <c r="F95" s="9"/>
      <c r="G95" s="9"/>
      <c r="H95" s="10"/>
      <c r="I95" s="10"/>
      <c r="J95" s="10">
        <v>40</v>
      </c>
      <c r="K95" s="10">
        <v>195</v>
      </c>
      <c r="L95" s="24">
        <f t="shared" si="0"/>
        <v>6.0345245286117972</v>
      </c>
      <c r="M95" s="25">
        <f t="shared" si="1"/>
        <v>-5.243893098051565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2:24">
      <c r="B96" s="9"/>
      <c r="C96" s="9"/>
      <c r="D96" s="9"/>
      <c r="E96" s="9"/>
      <c r="F96" s="9"/>
      <c r="G96" s="9"/>
      <c r="H96" s="10"/>
      <c r="I96" s="10"/>
      <c r="J96" s="10">
        <v>41</v>
      </c>
      <c r="K96" s="10">
        <v>200</v>
      </c>
      <c r="L96" s="24">
        <f t="shared" si="0"/>
        <v>6.5660314941185192</v>
      </c>
      <c r="M96" s="25">
        <f t="shared" si="1"/>
        <v>-6.9296178272725291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2:24">
      <c r="B97" s="9"/>
      <c r="C97" s="9"/>
      <c r="D97" s="9"/>
      <c r="E97" s="9"/>
      <c r="F97" s="9"/>
      <c r="G97" s="9"/>
      <c r="H97" s="10"/>
      <c r="I97" s="10"/>
      <c r="J97" s="10">
        <v>42</v>
      </c>
      <c r="K97" s="10">
        <v>205</v>
      </c>
      <c r="L97" s="24">
        <f t="shared" si="0"/>
        <v>7.2424365059984979</v>
      </c>
      <c r="M97" s="25">
        <f t="shared" si="1"/>
        <v>-8.5626039806103051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2:24">
      <c r="B98" s="9"/>
      <c r="C98" s="9"/>
      <c r="D98" s="9"/>
      <c r="E98" s="9"/>
      <c r="F98" s="9"/>
      <c r="G98" s="9"/>
      <c r="H98" s="10"/>
      <c r="I98" s="10"/>
      <c r="J98" s="10">
        <v>43</v>
      </c>
      <c r="K98" s="10">
        <v>210</v>
      </c>
      <c r="L98" s="24">
        <f t="shared" si="0"/>
        <v>8.0585917136868126</v>
      </c>
      <c r="M98" s="25">
        <f t="shared" si="1"/>
        <v>-10.130423547414001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2:24">
      <c r="B99" s="9"/>
      <c r="C99" s="9"/>
      <c r="D99" s="9"/>
      <c r="E99" s="9"/>
      <c r="F99" s="9"/>
      <c r="G99" s="9"/>
      <c r="H99" s="10"/>
      <c r="I99" s="10"/>
      <c r="J99" s="10">
        <v>44</v>
      </c>
      <c r="K99" s="10">
        <v>215</v>
      </c>
      <c r="L99" s="24">
        <f t="shared" si="0"/>
        <v>9.0082856832449671</v>
      </c>
      <c r="M99" s="25">
        <f t="shared" si="1"/>
        <v>-11.62114447410489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2:24">
      <c r="B100" s="9"/>
      <c r="C100" s="9"/>
      <c r="D100" s="9"/>
      <c r="E100" s="9"/>
      <c r="F100" s="9"/>
      <c r="G100" s="9"/>
      <c r="H100" s="10"/>
      <c r="I100" s="10"/>
      <c r="J100" s="10">
        <v>45</v>
      </c>
      <c r="K100" s="10">
        <v>220</v>
      </c>
      <c r="L100" s="24">
        <f t="shared" si="0"/>
        <v>10.084290670123723</v>
      </c>
      <c r="M100" s="25">
        <f t="shared" si="1"/>
        <v>-13.023421474308952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2:24">
      <c r="B101" s="9"/>
      <c r="C101" s="9"/>
      <c r="D101" s="9"/>
      <c r="E101" s="9"/>
      <c r="F101" s="9"/>
      <c r="G101" s="9"/>
      <c r="H101" s="10"/>
      <c r="I101" s="10"/>
      <c r="J101" s="10">
        <v>46</v>
      </c>
      <c r="K101" s="10">
        <v>225</v>
      </c>
      <c r="L101" s="24">
        <f t="shared" si="0"/>
        <v>11.278417626663359</v>
      </c>
      <c r="M101" s="25">
        <f t="shared" si="1"/>
        <v>-14.326582373336636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2:24">
      <c r="B102" s="9"/>
      <c r="C102" s="9"/>
      <c r="D102" s="9"/>
      <c r="E102" s="9"/>
      <c r="F102" s="9"/>
      <c r="G102" s="9"/>
      <c r="H102" s="10"/>
      <c r="I102" s="10"/>
      <c r="J102" s="10">
        <v>47</v>
      </c>
      <c r="K102" s="10">
        <v>230</v>
      </c>
      <c r="L102" s="24">
        <f t="shared" si="0"/>
        <v>12.581578525691045</v>
      </c>
      <c r="M102" s="25">
        <f t="shared" si="1"/>
        <v>-15.520709329876276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2:24">
      <c r="B103" s="9"/>
      <c r="C103" s="9"/>
      <c r="D103" s="9"/>
      <c r="E103" s="9"/>
      <c r="F103" s="9"/>
      <c r="G103" s="9"/>
      <c r="H103" s="10"/>
      <c r="I103" s="10"/>
      <c r="J103" s="10">
        <v>48</v>
      </c>
      <c r="K103" s="10">
        <v>235</v>
      </c>
      <c r="L103" s="24">
        <f t="shared" si="0"/>
        <v>13.983855525895105</v>
      </c>
      <c r="M103" s="25">
        <f t="shared" si="1"/>
        <v>-16.59671431675503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2:24">
      <c r="B104" s="9"/>
      <c r="C104" s="9"/>
      <c r="D104" s="9"/>
      <c r="E104" s="9"/>
      <c r="F104" s="9"/>
      <c r="G104" s="9"/>
      <c r="H104" s="10"/>
      <c r="I104" s="10"/>
      <c r="J104" s="10">
        <v>49</v>
      </c>
      <c r="K104" s="10">
        <v>240</v>
      </c>
      <c r="L104" s="24">
        <f t="shared" si="0"/>
        <v>15.474576452585993</v>
      </c>
      <c r="M104" s="25">
        <f t="shared" si="1"/>
        <v>-17.546408286313181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2:24">
      <c r="B105" s="9"/>
      <c r="C105" s="9"/>
      <c r="D105" s="9"/>
      <c r="E105" s="9"/>
      <c r="F105" s="9"/>
      <c r="G105" s="9"/>
      <c r="H105" s="10"/>
      <c r="I105" s="10"/>
      <c r="J105" s="10">
        <v>50</v>
      </c>
      <c r="K105" s="10">
        <v>245</v>
      </c>
      <c r="L105" s="24">
        <f t="shared" si="0"/>
        <v>17.042396019389699</v>
      </c>
      <c r="M105" s="25">
        <f t="shared" si="1"/>
        <v>-18.362563494001503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2:24">
      <c r="B106" s="9"/>
      <c r="C106" s="9"/>
      <c r="D106" s="9"/>
      <c r="E106" s="9"/>
      <c r="F106" s="9"/>
      <c r="G106" s="9"/>
      <c r="H106" s="10"/>
      <c r="I106" s="10"/>
      <c r="J106" s="10">
        <v>51</v>
      </c>
      <c r="K106" s="10">
        <v>250</v>
      </c>
      <c r="L106" s="24">
        <f t="shared" si="0"/>
        <v>18.675382172727474</v>
      </c>
      <c r="M106" s="25">
        <f t="shared" si="1"/>
        <v>-19.038968505881481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2:24">
      <c r="B107" s="9"/>
      <c r="C107" s="9"/>
      <c r="D107" s="9"/>
      <c r="E107" s="9"/>
      <c r="F107" s="9"/>
      <c r="G107" s="9"/>
      <c r="H107" s="10"/>
      <c r="I107" s="10"/>
      <c r="J107" s="10">
        <v>52</v>
      </c>
      <c r="K107" s="10">
        <v>255</v>
      </c>
      <c r="L107" s="24">
        <f t="shared" si="0"/>
        <v>20.361106901948439</v>
      </c>
      <c r="M107" s="25">
        <f t="shared" si="1"/>
        <v>-19.570475471388203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2:24">
      <c r="B108" s="9"/>
      <c r="C108" s="9"/>
      <c r="D108" s="9"/>
      <c r="E108" s="9"/>
      <c r="F108" s="9"/>
      <c r="G108" s="9"/>
      <c r="H108" s="10"/>
      <c r="I108" s="10"/>
      <c r="J108" s="10">
        <v>53</v>
      </c>
      <c r="K108" s="10">
        <v>260</v>
      </c>
      <c r="L108" s="24">
        <f t="shared" si="0"/>
        <v>22.086740823994798</v>
      </c>
      <c r="M108" s="25">
        <f t="shared" si="1"/>
        <v>-19.953039301581484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2:24">
      <c r="B109" s="9"/>
      <c r="C109" s="9"/>
      <c r="D109" s="9"/>
      <c r="E109" s="9"/>
      <c r="F109" s="9"/>
      <c r="G109" s="9"/>
      <c r="H109" s="10"/>
      <c r="I109" s="10"/>
      <c r="J109" s="10">
        <v>54</v>
      </c>
      <c r="K109" s="10">
        <v>265</v>
      </c>
      <c r="L109" s="24">
        <f t="shared" si="0"/>
        <v>23.839150822753531</v>
      </c>
      <c r="M109" s="25">
        <f t="shared" si="1"/>
        <v>-20.183748454715197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2:24">
      <c r="B110" s="9"/>
      <c r="C110" s="9"/>
      <c r="D110" s="9"/>
      <c r="E110" s="9"/>
      <c r="F110" s="9"/>
      <c r="G110" s="9"/>
      <c r="H110" s="10"/>
      <c r="I110" s="10"/>
      <c r="J110" s="10">
        <v>55</v>
      </c>
      <c r="K110" s="10">
        <v>270</v>
      </c>
      <c r="L110" s="24">
        <f t="shared" si="0"/>
        <v>25.604999999999997</v>
      </c>
      <c r="M110" s="25">
        <f t="shared" si="1"/>
        <v>-20.260847094827998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2:24">
      <c r="B111" s="9"/>
      <c r="C111" s="9"/>
      <c r="D111" s="9"/>
      <c r="E111" s="9"/>
      <c r="F111" s="9"/>
      <c r="G111" s="9"/>
      <c r="H111" s="10"/>
      <c r="I111" s="10"/>
      <c r="J111" s="10">
        <v>56</v>
      </c>
      <c r="K111" s="10">
        <v>275</v>
      </c>
      <c r="L111" s="24">
        <f t="shared" si="0"/>
        <v>27.370849177246463</v>
      </c>
      <c r="M111" s="25">
        <f t="shared" si="1"/>
        <v>-20.183748454715197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2:24">
      <c r="B112" s="9"/>
      <c r="C112" s="9"/>
      <c r="D112" s="9"/>
      <c r="E112" s="9"/>
      <c r="F112" s="9"/>
      <c r="G112" s="9"/>
      <c r="H112" s="10"/>
      <c r="I112" s="10"/>
      <c r="J112" s="10">
        <v>57</v>
      </c>
      <c r="K112" s="10">
        <v>280</v>
      </c>
      <c r="L112" s="24">
        <f t="shared" si="0"/>
        <v>29.123259176005195</v>
      </c>
      <c r="M112" s="25">
        <f t="shared" si="1"/>
        <v>-19.953039301581487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2:24">
      <c r="B113" s="9"/>
      <c r="C113" s="9"/>
      <c r="D113" s="9"/>
      <c r="E113" s="9"/>
      <c r="F113" s="9"/>
      <c r="G113" s="9"/>
      <c r="H113" s="10"/>
      <c r="I113" s="10"/>
      <c r="J113" s="10">
        <v>58</v>
      </c>
      <c r="K113" s="10">
        <v>285</v>
      </c>
      <c r="L113" s="24">
        <f t="shared" si="0"/>
        <v>30.848893098051555</v>
      </c>
      <c r="M113" s="25">
        <f t="shared" si="1"/>
        <v>-19.570475471388207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2:24">
      <c r="B114" s="9"/>
      <c r="C114" s="9"/>
      <c r="D114" s="9"/>
      <c r="E114" s="9"/>
      <c r="F114" s="9"/>
      <c r="G114" s="9"/>
      <c r="H114" s="10"/>
      <c r="I114" s="10"/>
      <c r="J114" s="10">
        <v>59</v>
      </c>
      <c r="K114" s="10">
        <v>290</v>
      </c>
      <c r="L114" s="24">
        <f t="shared" si="0"/>
        <v>32.534617827272534</v>
      </c>
      <c r="M114" s="25">
        <f t="shared" si="1"/>
        <v>-19.038968505881478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2:24">
      <c r="B115" s="9"/>
      <c r="C115" s="9"/>
      <c r="D115" s="9"/>
      <c r="E115" s="9"/>
      <c r="F115" s="9"/>
      <c r="G115" s="9"/>
      <c r="H115" s="10"/>
      <c r="I115" s="10"/>
      <c r="J115" s="10">
        <v>60</v>
      </c>
      <c r="K115" s="10">
        <v>295</v>
      </c>
      <c r="L115" s="24">
        <f t="shared" si="0"/>
        <v>34.167603980610309</v>
      </c>
      <c r="M115" s="25">
        <f t="shared" si="1"/>
        <v>-18.362563494001499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2:24">
      <c r="B116" s="9"/>
      <c r="C116" s="9"/>
      <c r="D116" s="9"/>
      <c r="E116" s="9"/>
      <c r="F116" s="9"/>
      <c r="G116" s="9"/>
      <c r="H116" s="10"/>
      <c r="I116" s="10"/>
      <c r="J116" s="10">
        <v>61</v>
      </c>
      <c r="K116" s="10">
        <v>300</v>
      </c>
      <c r="L116" s="24">
        <f t="shared" si="0"/>
        <v>35.735423547414001</v>
      </c>
      <c r="M116" s="25">
        <f t="shared" si="1"/>
        <v>-17.546408286313188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2:24">
      <c r="B117" s="9"/>
      <c r="C117" s="9"/>
      <c r="D117" s="9"/>
      <c r="E117" s="9"/>
      <c r="F117" s="9"/>
      <c r="G117" s="9"/>
      <c r="H117" s="10"/>
      <c r="I117" s="10"/>
      <c r="J117" s="10">
        <v>62</v>
      </c>
      <c r="K117" s="10">
        <v>305</v>
      </c>
      <c r="L117" s="24">
        <f t="shared" si="0"/>
        <v>37.226144474104885</v>
      </c>
      <c r="M117" s="25">
        <f t="shared" si="1"/>
        <v>-16.596714316755033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2:24">
      <c r="B118" s="9"/>
      <c r="C118" s="9"/>
      <c r="D118" s="9"/>
      <c r="E118" s="9"/>
      <c r="F118" s="9"/>
      <c r="G118" s="9"/>
      <c r="H118" s="10"/>
      <c r="I118" s="10"/>
      <c r="J118" s="10">
        <v>63</v>
      </c>
      <c r="K118" s="10">
        <v>310</v>
      </c>
      <c r="L118" s="24">
        <f t="shared" si="0"/>
        <v>38.628421474308951</v>
      </c>
      <c r="M118" s="25">
        <f t="shared" si="1"/>
        <v>-15.520709329876279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2:24">
      <c r="B119" s="9"/>
      <c r="C119" s="9"/>
      <c r="D119" s="9"/>
      <c r="E119" s="9"/>
      <c r="F119" s="9"/>
      <c r="G119" s="9"/>
      <c r="H119" s="10"/>
      <c r="I119" s="10"/>
      <c r="J119" s="10">
        <v>64</v>
      </c>
      <c r="K119" s="10">
        <v>315</v>
      </c>
      <c r="L119" s="24">
        <f t="shared" si="0"/>
        <v>39.931582373336639</v>
      </c>
      <c r="M119" s="25">
        <f t="shared" si="1"/>
        <v>-14.326582373336642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2:24">
      <c r="B120" s="9"/>
      <c r="C120" s="9"/>
      <c r="D120" s="9"/>
      <c r="E120" s="9"/>
      <c r="F120" s="9"/>
      <c r="G120" s="9"/>
      <c r="H120" s="10"/>
      <c r="I120" s="10"/>
      <c r="J120" s="10">
        <v>65</v>
      </c>
      <c r="K120" s="10">
        <v>320</v>
      </c>
      <c r="L120" s="24">
        <f t="shared" si="0"/>
        <v>41.125709329876273</v>
      </c>
      <c r="M120" s="25">
        <f t="shared" si="1"/>
        <v>-13.023421474308959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2:24">
      <c r="B121" s="9"/>
      <c r="C121" s="9"/>
      <c r="D121" s="9"/>
      <c r="E121" s="9"/>
      <c r="F121" s="9"/>
      <c r="G121" s="9"/>
      <c r="H121" s="10"/>
      <c r="I121" s="10"/>
      <c r="J121" s="10">
        <v>66</v>
      </c>
      <c r="K121" s="10">
        <v>325</v>
      </c>
      <c r="L121" s="24">
        <f t="shared" si="0"/>
        <v>42.20171431675503</v>
      </c>
      <c r="M121" s="25">
        <f t="shared" si="1"/>
        <v>-11.621144474104897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2:24">
      <c r="B122" s="9"/>
      <c r="C122" s="9"/>
      <c r="D122" s="9"/>
      <c r="E122" s="9"/>
      <c r="F122" s="9"/>
      <c r="G122" s="9"/>
      <c r="H122" s="10"/>
      <c r="I122" s="10"/>
      <c r="J122" s="10">
        <v>67</v>
      </c>
      <c r="K122" s="10">
        <v>330</v>
      </c>
      <c r="L122" s="24">
        <f t="shared" ref="L122:L128" si="2">$G$48+$G$49*COS(RADIANS(K122))</f>
        <v>43.151408286313185</v>
      </c>
      <c r="M122" s="25">
        <f t="shared" ref="M122:M128" si="3">$G$49*SIN(RADIANS(K122))</f>
        <v>-10.130423547414008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2:24">
      <c r="B123" s="9"/>
      <c r="C123" s="9"/>
      <c r="D123" s="9"/>
      <c r="E123" s="9"/>
      <c r="F123" s="9"/>
      <c r="G123" s="9"/>
      <c r="H123" s="10"/>
      <c r="I123" s="10"/>
      <c r="J123" s="10">
        <v>68</v>
      </c>
      <c r="K123" s="10">
        <v>335</v>
      </c>
      <c r="L123" s="24">
        <f t="shared" si="2"/>
        <v>43.967563494001503</v>
      </c>
      <c r="M123" s="25">
        <f t="shared" si="3"/>
        <v>-8.5626039806103034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2:24">
      <c r="B124" s="9"/>
      <c r="C124" s="9"/>
      <c r="D124" s="9"/>
      <c r="E124" s="9"/>
      <c r="F124" s="9"/>
      <c r="G124" s="9"/>
      <c r="H124" s="10"/>
      <c r="I124" s="10"/>
      <c r="J124" s="10">
        <v>69</v>
      </c>
      <c r="K124" s="10">
        <v>340</v>
      </c>
      <c r="L124" s="24">
        <f t="shared" si="2"/>
        <v>44.643968505881482</v>
      </c>
      <c r="M124" s="25">
        <f t="shared" si="3"/>
        <v>-6.9296178272725282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2:24">
      <c r="B125" s="9"/>
      <c r="C125" s="9"/>
      <c r="D125" s="9"/>
      <c r="E125" s="9"/>
      <c r="F125" s="9"/>
      <c r="G125" s="9"/>
      <c r="H125" s="10"/>
      <c r="I125" s="10"/>
      <c r="J125" s="10">
        <v>70</v>
      </c>
      <c r="K125" s="10">
        <v>345</v>
      </c>
      <c r="L125" s="24">
        <f t="shared" si="2"/>
        <v>45.175475471388204</v>
      </c>
      <c r="M125" s="25">
        <f t="shared" si="3"/>
        <v>-5.2438930980515623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2:24">
      <c r="B126" s="9"/>
      <c r="C126" s="9"/>
      <c r="D126" s="9"/>
      <c r="E126" s="9"/>
      <c r="F126" s="9"/>
      <c r="G126" s="9"/>
      <c r="H126" s="10"/>
      <c r="I126" s="10"/>
      <c r="J126" s="10">
        <v>71</v>
      </c>
      <c r="K126" s="10">
        <v>350</v>
      </c>
      <c r="L126" s="24">
        <f t="shared" si="2"/>
        <v>45.558039301581488</v>
      </c>
      <c r="M126" s="25">
        <f t="shared" si="3"/>
        <v>-3.5182591760052024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2:24">
      <c r="B127" s="9"/>
      <c r="C127" s="9"/>
      <c r="D127" s="9"/>
      <c r="E127" s="9"/>
      <c r="F127" s="9"/>
      <c r="G127" s="9"/>
      <c r="H127" s="10"/>
      <c r="I127" s="10"/>
      <c r="J127" s="10">
        <v>72</v>
      </c>
      <c r="K127" s="10">
        <v>355</v>
      </c>
      <c r="L127" s="24">
        <f t="shared" si="2"/>
        <v>45.788748454715197</v>
      </c>
      <c r="M127" s="25">
        <f t="shared" si="3"/>
        <v>-1.7658491772464695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2:24">
      <c r="B128" s="9"/>
      <c r="C128" s="9"/>
      <c r="D128" s="9"/>
      <c r="E128" s="9"/>
      <c r="F128" s="9"/>
      <c r="G128" s="9"/>
      <c r="H128" s="10"/>
      <c r="I128" s="10"/>
      <c r="J128" s="10">
        <v>73</v>
      </c>
      <c r="K128" s="10">
        <v>360</v>
      </c>
      <c r="L128" s="24">
        <f t="shared" si="2"/>
        <v>45.865847094827998</v>
      </c>
      <c r="M128" s="25">
        <f t="shared" si="3"/>
        <v>-4.964509102673665E-15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2:24">
      <c r="B129" s="9"/>
      <c r="C129" s="9"/>
      <c r="D129" s="9"/>
      <c r="E129" s="9"/>
      <c r="F129" s="9"/>
      <c r="G129" s="9"/>
      <c r="H129" s="10"/>
      <c r="I129" s="10"/>
      <c r="J129" s="10"/>
      <c r="K129" s="10"/>
      <c r="L129" s="10"/>
      <c r="M129" s="1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2:24">
      <c r="B130" s="9"/>
      <c r="C130" s="9"/>
      <c r="D130" s="9"/>
      <c r="E130" s="9"/>
      <c r="F130" s="9"/>
      <c r="G130" s="9"/>
      <c r="H130" s="10"/>
      <c r="I130" s="10"/>
      <c r="J130" s="10"/>
      <c r="K130" s="10"/>
      <c r="L130" s="10"/>
      <c r="M130" s="1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2:24">
      <c r="B131" s="9"/>
      <c r="C131" s="9"/>
      <c r="D131" s="9"/>
      <c r="E131" s="9"/>
      <c r="F131" s="9"/>
      <c r="G131" s="9"/>
      <c r="H131" s="10"/>
      <c r="I131" s="10"/>
      <c r="J131" s="10"/>
      <c r="K131" s="10"/>
      <c r="L131" s="10"/>
      <c r="M131" s="1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2:24">
      <c r="B132" s="9"/>
      <c r="C132" s="9"/>
      <c r="D132" s="9"/>
      <c r="E132" s="9"/>
      <c r="F132" s="9"/>
      <c r="G132" s="9"/>
      <c r="H132" s="10"/>
      <c r="I132" s="10"/>
      <c r="J132" s="10"/>
      <c r="K132" s="10"/>
      <c r="L132" s="10"/>
      <c r="M132" s="1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2:24">
      <c r="B133" s="9"/>
      <c r="C133" s="9"/>
      <c r="D133" s="9"/>
      <c r="E133" s="9"/>
      <c r="F133" s="9"/>
      <c r="G133" s="9"/>
      <c r="H133" s="10"/>
      <c r="I133" s="10"/>
      <c r="J133" s="10"/>
      <c r="K133" s="10"/>
      <c r="L133" s="10"/>
      <c r="M133" s="1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2:24">
      <c r="B134" s="9"/>
      <c r="C134" s="9"/>
      <c r="D134" s="9"/>
      <c r="E134" s="9"/>
      <c r="F134" s="9"/>
      <c r="G134" s="9"/>
      <c r="H134" s="10"/>
      <c r="I134" s="10"/>
      <c r="J134" s="10"/>
      <c r="K134" s="10"/>
      <c r="L134" s="10"/>
      <c r="M134" s="1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2:24">
      <c r="B135" s="9"/>
      <c r="C135" s="9"/>
      <c r="D135" s="9"/>
      <c r="E135" s="9"/>
      <c r="F135" s="9"/>
      <c r="G135" s="9"/>
      <c r="H135" s="10"/>
      <c r="I135" s="10"/>
      <c r="J135" s="10"/>
      <c r="K135" s="10"/>
      <c r="L135" s="10"/>
      <c r="M135" s="1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2:24">
      <c r="B136" s="9"/>
      <c r="C136" s="9"/>
      <c r="D136" s="9"/>
      <c r="E136" s="9"/>
      <c r="F136" s="9"/>
      <c r="G136" s="9"/>
      <c r="H136" s="10"/>
      <c r="I136" s="10"/>
      <c r="J136" s="10"/>
      <c r="K136" s="10"/>
      <c r="L136" s="10"/>
      <c r="M136" s="1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2:24">
      <c r="B137" s="9"/>
      <c r="C137" s="9"/>
      <c r="D137" s="9"/>
      <c r="E137" s="9"/>
      <c r="F137" s="9"/>
      <c r="G137" s="9"/>
      <c r="H137" s="10"/>
      <c r="I137" s="10"/>
      <c r="J137" s="10"/>
      <c r="K137" s="10"/>
      <c r="L137" s="10"/>
      <c r="M137" s="1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2:24">
      <c r="B138" s="9"/>
      <c r="C138" s="9"/>
      <c r="D138" s="9"/>
      <c r="E138" s="9"/>
      <c r="F138" s="9"/>
      <c r="G138" s="9"/>
      <c r="H138" s="10"/>
      <c r="I138" s="10"/>
      <c r="J138" s="10"/>
      <c r="K138" s="10"/>
      <c r="L138" s="10"/>
      <c r="M138" s="1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2:24">
      <c r="B139" s="9"/>
      <c r="C139" s="9"/>
      <c r="D139" s="9"/>
      <c r="E139" s="9"/>
      <c r="F139" s="9"/>
      <c r="G139" s="9"/>
      <c r="H139" s="10"/>
      <c r="I139" s="10"/>
      <c r="J139" s="10"/>
      <c r="K139" s="10"/>
      <c r="L139" s="10"/>
      <c r="M139" s="1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2:24">
      <c r="B140" s="9"/>
      <c r="C140" s="9"/>
      <c r="D140" s="9"/>
      <c r="E140" s="9"/>
      <c r="F140" s="9"/>
      <c r="G140" s="9"/>
      <c r="H140" s="10"/>
      <c r="I140" s="10"/>
      <c r="J140" s="10"/>
      <c r="K140" s="10"/>
      <c r="L140" s="10"/>
      <c r="M140" s="1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2:24">
      <c r="B141" s="9"/>
      <c r="C141" s="9"/>
      <c r="D141" s="9"/>
      <c r="E141" s="9"/>
      <c r="F141" s="9"/>
      <c r="G141" s="9"/>
      <c r="H141" s="10"/>
      <c r="I141" s="10"/>
      <c r="J141" s="10"/>
      <c r="K141" s="10"/>
      <c r="L141" s="10"/>
      <c r="M141" s="1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2:24">
      <c r="B142" s="9"/>
      <c r="C142" s="9"/>
      <c r="D142" s="9"/>
      <c r="E142" s="9"/>
      <c r="F142" s="9"/>
      <c r="G142" s="9"/>
      <c r="H142" s="10"/>
      <c r="I142" s="10"/>
      <c r="J142" s="10"/>
      <c r="K142" s="10"/>
      <c r="L142" s="10"/>
      <c r="M142" s="1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2:24">
      <c r="B143" s="9"/>
      <c r="C143" s="9"/>
      <c r="D143" s="9"/>
      <c r="E143" s="9"/>
      <c r="F143" s="9"/>
      <c r="G143" s="9"/>
      <c r="H143" s="10"/>
      <c r="I143" s="10"/>
      <c r="J143" s="10"/>
      <c r="K143" s="10"/>
      <c r="L143" s="10"/>
      <c r="M143" s="1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2:24">
      <c r="B144" s="9"/>
      <c r="C144" s="9"/>
      <c r="D144" s="9"/>
      <c r="E144" s="9"/>
      <c r="F144" s="9"/>
      <c r="G144" s="9"/>
      <c r="H144" s="10"/>
      <c r="I144" s="10"/>
      <c r="J144" s="10"/>
      <c r="K144" s="10"/>
      <c r="L144" s="10"/>
      <c r="M144" s="1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2:24">
      <c r="B145" s="9"/>
      <c r="C145" s="9"/>
      <c r="D145" s="9"/>
      <c r="E145" s="9"/>
      <c r="F145" s="9"/>
      <c r="G145" s="9"/>
      <c r="H145" s="10"/>
      <c r="I145" s="10"/>
      <c r="J145" s="10"/>
      <c r="K145" s="10"/>
      <c r="L145" s="10"/>
      <c r="M145" s="1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2:24">
      <c r="B146" s="9"/>
      <c r="C146" s="9"/>
      <c r="D146" s="9"/>
      <c r="E146" s="9"/>
      <c r="F146" s="9"/>
      <c r="G146" s="9"/>
      <c r="H146" s="10"/>
      <c r="I146" s="10"/>
      <c r="J146" s="10"/>
      <c r="K146" s="10"/>
      <c r="L146" s="10"/>
      <c r="M146" s="1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2:24">
      <c r="B147" s="9"/>
      <c r="C147" s="9"/>
      <c r="D147" s="9"/>
      <c r="E147" s="9"/>
      <c r="F147" s="9"/>
      <c r="G147" s="9"/>
      <c r="H147" s="10"/>
      <c r="I147" s="10"/>
      <c r="J147" s="10"/>
      <c r="K147" s="10"/>
      <c r="L147" s="10"/>
      <c r="M147" s="1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2:24">
      <c r="B148" s="9"/>
      <c r="C148" s="9"/>
      <c r="D148" s="9"/>
      <c r="E148" s="9"/>
      <c r="F148" s="9"/>
      <c r="G148" s="9"/>
      <c r="H148" s="10"/>
      <c r="I148" s="10"/>
      <c r="J148" s="10"/>
      <c r="K148" s="10"/>
      <c r="L148" s="10"/>
      <c r="M148" s="1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2:24">
      <c r="B149" s="9"/>
      <c r="C149" s="9"/>
      <c r="D149" s="9"/>
      <c r="E149" s="9"/>
      <c r="F149" s="9"/>
      <c r="G149" s="9"/>
      <c r="H149" s="10"/>
      <c r="I149" s="10"/>
      <c r="J149" s="10"/>
      <c r="K149" s="10"/>
      <c r="L149" s="10"/>
      <c r="M149" s="1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2:24">
      <c r="B150" s="9"/>
      <c r="C150" s="9"/>
      <c r="D150" s="9"/>
      <c r="E150" s="9"/>
      <c r="F150" s="9"/>
      <c r="G150" s="9"/>
      <c r="H150" s="10"/>
      <c r="I150" s="10"/>
      <c r="J150" s="10"/>
      <c r="K150" s="10"/>
      <c r="L150" s="10"/>
      <c r="M150" s="1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2:24">
      <c r="B151" s="9"/>
      <c r="C151" s="9"/>
      <c r="D151" s="9"/>
      <c r="E151" s="9"/>
      <c r="F151" s="9"/>
      <c r="G151" s="9"/>
      <c r="H151" s="10"/>
      <c r="I151" s="10"/>
      <c r="J151" s="10"/>
      <c r="K151" s="10"/>
      <c r="L151" s="10"/>
      <c r="M151" s="1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2:24">
      <c r="B152" s="9"/>
      <c r="C152" s="9"/>
      <c r="D152" s="9"/>
      <c r="E152" s="9"/>
      <c r="F152" s="9"/>
      <c r="G152" s="9"/>
      <c r="H152" s="10"/>
      <c r="I152" s="10"/>
      <c r="J152" s="10"/>
      <c r="K152" s="10"/>
      <c r="L152" s="10"/>
      <c r="M152" s="1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2:24">
      <c r="B153" s="9"/>
      <c r="C153" s="9"/>
      <c r="D153" s="9"/>
      <c r="E153" s="9"/>
      <c r="F153" s="9"/>
      <c r="G153" s="9"/>
      <c r="H153" s="10"/>
      <c r="I153" s="10"/>
      <c r="J153" s="10"/>
      <c r="K153" s="10"/>
      <c r="L153" s="10"/>
      <c r="M153" s="1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2:24">
      <c r="B154" s="9"/>
      <c r="C154" s="9"/>
      <c r="D154" s="9"/>
      <c r="E154" s="9"/>
      <c r="F154" s="9"/>
      <c r="G154" s="9"/>
      <c r="H154" s="10"/>
      <c r="I154" s="10"/>
      <c r="J154" s="10"/>
      <c r="K154" s="10"/>
      <c r="L154" s="10"/>
      <c r="M154" s="1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2:24">
      <c r="B155" s="9"/>
      <c r="C155" s="9"/>
      <c r="D155" s="9"/>
      <c r="E155" s="9"/>
      <c r="F155" s="9"/>
      <c r="G155" s="9"/>
      <c r="H155" s="10"/>
      <c r="I155" s="10"/>
      <c r="J155" s="10"/>
      <c r="K155" s="10"/>
      <c r="L155" s="10"/>
      <c r="M155" s="1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2:24">
      <c r="B156" s="9"/>
      <c r="C156" s="9"/>
      <c r="D156" s="9"/>
      <c r="E156" s="9"/>
      <c r="F156" s="9"/>
      <c r="G156" s="9"/>
      <c r="H156" s="10"/>
      <c r="I156" s="10"/>
      <c r="J156" s="10"/>
      <c r="K156" s="10"/>
      <c r="L156" s="10"/>
      <c r="M156" s="1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2:24">
      <c r="B157" s="9"/>
      <c r="C157" s="9"/>
      <c r="D157" s="9"/>
      <c r="E157" s="9"/>
      <c r="F157" s="9"/>
      <c r="G157" s="9"/>
      <c r="H157" s="10"/>
      <c r="I157" s="10"/>
      <c r="J157" s="10"/>
      <c r="K157" s="10"/>
      <c r="L157" s="10"/>
      <c r="M157" s="1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2:24">
      <c r="B158" s="9"/>
      <c r="C158" s="9"/>
      <c r="D158" s="9"/>
      <c r="E158" s="9"/>
      <c r="F158" s="9"/>
      <c r="G158" s="9"/>
      <c r="H158" s="10"/>
      <c r="I158" s="10"/>
      <c r="J158" s="10"/>
      <c r="K158" s="10"/>
      <c r="L158" s="10"/>
      <c r="M158" s="1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2:24">
      <c r="B159" s="9"/>
      <c r="C159" s="9"/>
      <c r="D159" s="9"/>
      <c r="E159" s="9"/>
      <c r="F159" s="9"/>
      <c r="G159" s="9"/>
      <c r="H159" s="10"/>
      <c r="I159" s="10"/>
      <c r="J159" s="10"/>
      <c r="K159" s="10"/>
      <c r="L159" s="10"/>
      <c r="M159" s="1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2:24">
      <c r="B160" s="9"/>
      <c r="C160" s="9"/>
      <c r="D160" s="9"/>
      <c r="E160" s="9"/>
      <c r="F160" s="9"/>
      <c r="G160" s="9"/>
      <c r="H160" s="10"/>
      <c r="I160" s="10"/>
      <c r="J160" s="10"/>
      <c r="K160" s="10"/>
      <c r="L160" s="10"/>
      <c r="M160" s="1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2:24">
      <c r="B161" s="9"/>
      <c r="C161" s="9"/>
      <c r="D161" s="9"/>
      <c r="E161" s="9"/>
      <c r="F161" s="9"/>
      <c r="G161" s="9"/>
      <c r="H161" s="10"/>
      <c r="I161" s="10"/>
      <c r="J161" s="10"/>
      <c r="K161" s="10"/>
      <c r="L161" s="10"/>
      <c r="M161" s="1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2:24">
      <c r="B162" s="9"/>
      <c r="C162" s="9"/>
      <c r="D162" s="9"/>
      <c r="E162" s="9"/>
      <c r="F162" s="9"/>
      <c r="G162" s="9"/>
      <c r="H162" s="10"/>
      <c r="I162" s="10"/>
      <c r="J162" s="10"/>
      <c r="K162" s="10"/>
      <c r="L162" s="10"/>
      <c r="M162" s="1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2:24">
      <c r="B163" s="9"/>
      <c r="C163" s="9"/>
      <c r="D163" s="9"/>
      <c r="E163" s="9"/>
      <c r="F163" s="9"/>
      <c r="G163" s="9"/>
      <c r="H163" s="10"/>
      <c r="I163" s="10"/>
      <c r="J163" s="10"/>
      <c r="K163" s="10"/>
      <c r="L163" s="10"/>
      <c r="M163" s="1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2:24">
      <c r="B164" s="9"/>
      <c r="C164" s="9"/>
      <c r="D164" s="9"/>
      <c r="E164" s="9"/>
      <c r="F164" s="9"/>
      <c r="G164" s="9"/>
      <c r="H164" s="10"/>
      <c r="I164" s="10"/>
      <c r="J164" s="10"/>
      <c r="K164" s="10"/>
      <c r="L164" s="10"/>
      <c r="M164" s="1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2:24">
      <c r="B165" s="9"/>
      <c r="C165" s="9"/>
      <c r="D165" s="9"/>
      <c r="E165" s="9"/>
      <c r="F165" s="9"/>
      <c r="G165" s="9"/>
      <c r="H165" s="10"/>
      <c r="I165" s="10"/>
      <c r="J165" s="10"/>
      <c r="K165" s="10"/>
      <c r="L165" s="10"/>
      <c r="M165" s="1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2:24">
      <c r="B166" s="9"/>
      <c r="C166" s="9"/>
      <c r="D166" s="9"/>
      <c r="E166" s="9"/>
      <c r="F166" s="9"/>
      <c r="G166" s="9"/>
      <c r="H166" s="10"/>
      <c r="I166" s="10"/>
      <c r="J166" s="10"/>
      <c r="K166" s="10"/>
      <c r="L166" s="10"/>
      <c r="M166" s="1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2:24">
      <c r="B167" s="9"/>
      <c r="C167" s="9"/>
      <c r="D167" s="9"/>
      <c r="E167" s="9"/>
      <c r="F167" s="9"/>
      <c r="G167" s="9"/>
      <c r="H167" s="10"/>
      <c r="I167" s="10"/>
      <c r="J167" s="10"/>
      <c r="K167" s="10"/>
      <c r="L167" s="10"/>
      <c r="M167" s="1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</sheetData>
  <phoneticPr fontId="15" type="noConversion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 of mm</vt:lpstr>
      <vt:lpstr>Units of inches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 Jr, Ralph E.</dc:creator>
  <cp:lastModifiedBy>Flori Jr, Ralph</cp:lastModifiedBy>
  <dcterms:created xsi:type="dcterms:W3CDTF">2022-05-01T01:54:10Z</dcterms:created>
  <dcterms:modified xsi:type="dcterms:W3CDTF">2026-05-03T12:30:26Z</dcterms:modified>
</cp:coreProperties>
</file>