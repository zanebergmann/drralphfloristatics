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ailmissouri-my.sharepoint.com/personal/reflori_umsystem_edu/Documents/R Flori Statics Project/Mohr's Circle for MOI/"/>
    </mc:Choice>
  </mc:AlternateContent>
  <xr:revisionPtr revIDLastSave="98" documentId="13_ncr:1_{8AE45544-DB5E-46E8-A515-86D3D6A2230D}" xr6:coauthVersionLast="47" xr6:coauthVersionMax="47" xr10:uidLastSave="{B7DA2CEB-8AAA-40EF-BDFA-4BBE8EA727FE}"/>
  <bookViews>
    <workbookView xWindow="-120" yWindow="-120" windowWidth="29040" windowHeight="17520" activeTab="1" xr2:uid="{30D575FA-1E7C-4C04-BB20-B25EEE3FEAB8}"/>
  </bookViews>
  <sheets>
    <sheet name="Iu and Iv, 2 Theta Eqn" sheetId="1" r:id="rId1"/>
    <sheet name="Animation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7" i="5" l="1"/>
  <c r="P18" i="5" s="1"/>
  <c r="D35" i="1"/>
  <c r="D36" i="1" s="1"/>
  <c r="D37" i="1" l="1"/>
  <c r="D38" i="1" l="1"/>
  <c r="D39" i="1" l="1"/>
  <c r="E12" i="5"/>
  <c r="K16" i="5"/>
  <c r="M15" i="5"/>
  <c r="K17" i="5" s="1"/>
  <c r="E11" i="5"/>
  <c r="F20" i="5" s="1"/>
  <c r="L99" i="5" s="1"/>
  <c r="E10" i="5"/>
  <c r="F19" i="5" s="1"/>
  <c r="E5" i="5"/>
  <c r="E4" i="5"/>
  <c r="E5" i="1"/>
  <c r="E4" i="1"/>
  <c r="E12" i="1"/>
  <c r="E11" i="1"/>
  <c r="G38" i="1" s="1"/>
  <c r="E10" i="1"/>
  <c r="F38" i="1" s="1"/>
  <c r="E24" i="5" l="1"/>
  <c r="F19" i="1"/>
  <c r="F34" i="1"/>
  <c r="F35" i="1"/>
  <c r="E35" i="1"/>
  <c r="E34" i="1"/>
  <c r="F36" i="1"/>
  <c r="E36" i="1"/>
  <c r="E37" i="1"/>
  <c r="F37" i="1"/>
  <c r="F20" i="1"/>
  <c r="L28" i="1" s="1"/>
  <c r="G34" i="1"/>
  <c r="G36" i="1"/>
  <c r="G35" i="1"/>
  <c r="G37" i="1"/>
  <c r="E38" i="1"/>
  <c r="G39" i="1"/>
  <c r="F39" i="1"/>
  <c r="E39" i="1"/>
  <c r="D40" i="1"/>
  <c r="D17" i="5"/>
  <c r="E16" i="5" s="1"/>
  <c r="K99" i="5"/>
  <c r="K95" i="5"/>
  <c r="K91" i="5"/>
  <c r="K87" i="5"/>
  <c r="K83" i="5"/>
  <c r="K79" i="5"/>
  <c r="K75" i="5"/>
  <c r="K71" i="5"/>
  <c r="K67" i="5"/>
  <c r="K63" i="5"/>
  <c r="K59" i="5"/>
  <c r="K55" i="5"/>
  <c r="K51" i="5"/>
  <c r="K47" i="5"/>
  <c r="K39" i="5"/>
  <c r="K31" i="5"/>
  <c r="E23" i="5"/>
  <c r="K97" i="5"/>
  <c r="K93" i="5"/>
  <c r="K89" i="5"/>
  <c r="K85" i="5"/>
  <c r="K81" i="5"/>
  <c r="K77" i="5"/>
  <c r="K73" i="5"/>
  <c r="K69" i="5"/>
  <c r="K65" i="5"/>
  <c r="K61" i="5"/>
  <c r="K57" i="5"/>
  <c r="K53" i="5"/>
  <c r="K49" i="5"/>
  <c r="K45" i="5"/>
  <c r="K41" i="5"/>
  <c r="K37" i="5"/>
  <c r="K33" i="5"/>
  <c r="K29" i="5"/>
  <c r="K98" i="5"/>
  <c r="K94" i="5"/>
  <c r="K90" i="5"/>
  <c r="K86" i="5"/>
  <c r="K82" i="5"/>
  <c r="K78" i="5"/>
  <c r="K74" i="5"/>
  <c r="K70" i="5"/>
  <c r="K66" i="5"/>
  <c r="K62" i="5"/>
  <c r="K58" i="5"/>
  <c r="K54" i="5"/>
  <c r="K50" i="5"/>
  <c r="K46" i="5"/>
  <c r="K42" i="5"/>
  <c r="K38" i="5"/>
  <c r="K34" i="5"/>
  <c r="K30" i="5"/>
  <c r="E22" i="5"/>
  <c r="K27" i="5" s="1"/>
  <c r="K96" i="5"/>
  <c r="K92" i="5"/>
  <c r="K88" i="5"/>
  <c r="K84" i="5"/>
  <c r="K80" i="5"/>
  <c r="K76" i="5"/>
  <c r="K72" i="5"/>
  <c r="K68" i="5"/>
  <c r="K64" i="5"/>
  <c r="K60" i="5"/>
  <c r="K56" i="5"/>
  <c r="K52" i="5"/>
  <c r="K48" i="5"/>
  <c r="K44" i="5"/>
  <c r="K40" i="5"/>
  <c r="K36" i="5"/>
  <c r="K32" i="5"/>
  <c r="K28" i="5"/>
  <c r="K43" i="5"/>
  <c r="K35" i="5"/>
  <c r="D15" i="5"/>
  <c r="K18" i="5"/>
  <c r="L28" i="5"/>
  <c r="L32" i="5"/>
  <c r="L36" i="5"/>
  <c r="L40" i="5"/>
  <c r="L44" i="5"/>
  <c r="L48" i="5"/>
  <c r="L52" i="5"/>
  <c r="L56" i="5"/>
  <c r="L60" i="5"/>
  <c r="L64" i="5"/>
  <c r="L68" i="5"/>
  <c r="L72" i="5"/>
  <c r="L76" i="5"/>
  <c r="L80" i="5"/>
  <c r="L84" i="5"/>
  <c r="L88" i="5"/>
  <c r="L92" i="5"/>
  <c r="L96" i="5"/>
  <c r="L93" i="5"/>
  <c r="L33" i="5"/>
  <c r="L41" i="5"/>
  <c r="L53" i="5"/>
  <c r="L85" i="5"/>
  <c r="D16" i="5"/>
  <c r="L29" i="5"/>
  <c r="L37" i="5"/>
  <c r="L45" i="5"/>
  <c r="L49" i="5"/>
  <c r="L57" i="5"/>
  <c r="L61" i="5"/>
  <c r="L65" i="5"/>
  <c r="L69" i="5"/>
  <c r="L73" i="5"/>
  <c r="L77" i="5"/>
  <c r="L81" i="5"/>
  <c r="L89" i="5"/>
  <c r="L97" i="5"/>
  <c r="L30" i="5"/>
  <c r="L34" i="5"/>
  <c r="L38" i="5"/>
  <c r="L42" i="5"/>
  <c r="L46" i="5"/>
  <c r="L50" i="5"/>
  <c r="L54" i="5"/>
  <c r="L58" i="5"/>
  <c r="L62" i="5"/>
  <c r="L66" i="5"/>
  <c r="L70" i="5"/>
  <c r="L74" i="5"/>
  <c r="L78" i="5"/>
  <c r="L82" i="5"/>
  <c r="L86" i="5"/>
  <c r="L90" i="5"/>
  <c r="L94" i="5"/>
  <c r="L98" i="5"/>
  <c r="L31" i="5"/>
  <c r="L35" i="5"/>
  <c r="L39" i="5"/>
  <c r="L43" i="5"/>
  <c r="L47" i="5"/>
  <c r="L51" i="5"/>
  <c r="L55" i="5"/>
  <c r="L59" i="5"/>
  <c r="L63" i="5"/>
  <c r="L67" i="5"/>
  <c r="L71" i="5"/>
  <c r="L75" i="5"/>
  <c r="L79" i="5"/>
  <c r="L83" i="5"/>
  <c r="L87" i="5"/>
  <c r="L91" i="5"/>
  <c r="L95" i="5"/>
  <c r="L87" i="1"/>
  <c r="K88" i="1"/>
  <c r="L50" i="1"/>
  <c r="K79" i="1"/>
  <c r="K38" i="1"/>
  <c r="L85" i="1"/>
  <c r="K73" i="1"/>
  <c r="K41" i="1"/>
  <c r="D17" i="1"/>
  <c r="E24" i="1"/>
  <c r="D16" i="1"/>
  <c r="D15" i="1"/>
  <c r="K71" i="1" l="1"/>
  <c r="K70" i="1"/>
  <c r="L82" i="1"/>
  <c r="L95" i="1"/>
  <c r="L53" i="1"/>
  <c r="K35" i="1"/>
  <c r="K40" i="1"/>
  <c r="E23" i="1"/>
  <c r="K45" i="1"/>
  <c r="K83" i="1"/>
  <c r="L57" i="1"/>
  <c r="L89" i="1"/>
  <c r="K42" i="1"/>
  <c r="K74" i="1"/>
  <c r="K47" i="1"/>
  <c r="K91" i="1"/>
  <c r="L54" i="1"/>
  <c r="L86" i="1"/>
  <c r="K56" i="1"/>
  <c r="L51" i="1"/>
  <c r="L88" i="1"/>
  <c r="L80" i="1"/>
  <c r="K30" i="1"/>
  <c r="E22" i="1"/>
  <c r="K27" i="1" s="1"/>
  <c r="K57" i="1"/>
  <c r="K89" i="1"/>
  <c r="L37" i="1"/>
  <c r="L69" i="1"/>
  <c r="K28" i="1"/>
  <c r="K54" i="1"/>
  <c r="K86" i="1"/>
  <c r="K59" i="1"/>
  <c r="L34" i="1"/>
  <c r="L66" i="1"/>
  <c r="L98" i="1"/>
  <c r="K72" i="1"/>
  <c r="L32" i="1"/>
  <c r="L91" i="1"/>
  <c r="K61" i="1"/>
  <c r="K93" i="1"/>
  <c r="L41" i="1"/>
  <c r="L73" i="1"/>
  <c r="K43" i="1"/>
  <c r="K58" i="1"/>
  <c r="K90" i="1"/>
  <c r="K63" i="1"/>
  <c r="L38" i="1"/>
  <c r="L70" i="1"/>
  <c r="L35" i="1"/>
  <c r="K76" i="1"/>
  <c r="L30" i="1"/>
  <c r="L92" i="1"/>
  <c r="K77" i="1"/>
  <c r="K31" i="1"/>
  <c r="L39" i="1"/>
  <c r="K44" i="1"/>
  <c r="K60" i="1"/>
  <c r="K92" i="1"/>
  <c r="L67" i="1"/>
  <c r="L52" i="1"/>
  <c r="L36" i="1"/>
  <c r="L40" i="1"/>
  <c r="L43" i="1"/>
  <c r="L44" i="1"/>
  <c r="L47" i="1"/>
  <c r="K33" i="1"/>
  <c r="L96" i="1"/>
  <c r="K49" i="1"/>
  <c r="K65" i="1"/>
  <c r="K81" i="1"/>
  <c r="K97" i="1"/>
  <c r="K95" i="1"/>
  <c r="L45" i="1"/>
  <c r="L61" i="1"/>
  <c r="L77" i="1"/>
  <c r="L93" i="1"/>
  <c r="K99" i="1"/>
  <c r="K46" i="1"/>
  <c r="K62" i="1"/>
  <c r="K78" i="1"/>
  <c r="K94" i="1"/>
  <c r="K51" i="1"/>
  <c r="K67" i="1"/>
  <c r="K29" i="1"/>
  <c r="L42" i="1"/>
  <c r="L58" i="1"/>
  <c r="L74" i="1"/>
  <c r="L90" i="1"/>
  <c r="K87" i="1"/>
  <c r="K32" i="1"/>
  <c r="K48" i="1"/>
  <c r="K64" i="1"/>
  <c r="K80" i="1"/>
  <c r="K96" i="1"/>
  <c r="L83" i="1"/>
  <c r="L68" i="1"/>
  <c r="L55" i="1"/>
  <c r="L56" i="1"/>
  <c r="L59" i="1"/>
  <c r="L60" i="1"/>
  <c r="L63" i="1"/>
  <c r="L48" i="1"/>
  <c r="K37" i="1"/>
  <c r="K53" i="1"/>
  <c r="K69" i="1"/>
  <c r="K85" i="1"/>
  <c r="K39" i="1"/>
  <c r="L33" i="1"/>
  <c r="L49" i="1"/>
  <c r="L65" i="1"/>
  <c r="L81" i="1"/>
  <c r="L97" i="1"/>
  <c r="K34" i="1"/>
  <c r="K50" i="1"/>
  <c r="K66" i="1"/>
  <c r="K82" i="1"/>
  <c r="K98" i="1"/>
  <c r="K55" i="1"/>
  <c r="K75" i="1"/>
  <c r="L99" i="1"/>
  <c r="L46" i="1"/>
  <c r="L62" i="1"/>
  <c r="L78" i="1"/>
  <c r="L94" i="1"/>
  <c r="L31" i="1"/>
  <c r="K36" i="1"/>
  <c r="K52" i="1"/>
  <c r="K68" i="1"/>
  <c r="K84" i="1"/>
  <c r="L29" i="1"/>
  <c r="L84" i="1"/>
  <c r="L71" i="1"/>
  <c r="L72" i="1"/>
  <c r="L75" i="1"/>
  <c r="L76" i="1"/>
  <c r="L79" i="1"/>
  <c r="L64" i="1"/>
  <c r="G40" i="1"/>
  <c r="F40" i="1"/>
  <c r="E40" i="1"/>
  <c r="D41" i="1"/>
  <c r="E15" i="5"/>
  <c r="E16" i="1"/>
  <c r="E15" i="1"/>
  <c r="D42" i="1" l="1"/>
  <c r="G41" i="1"/>
  <c r="F41" i="1"/>
  <c r="E41" i="1"/>
  <c r="G42" i="1" l="1"/>
  <c r="F42" i="1"/>
  <c r="E42" i="1"/>
  <c r="D43" i="1"/>
  <c r="F43" i="1" l="1"/>
  <c r="D44" i="1"/>
  <c r="G43" i="1"/>
  <c r="E43" i="1"/>
  <c r="G44" i="1" l="1"/>
  <c r="F44" i="1"/>
  <c r="E44" i="1"/>
  <c r="D45" i="1"/>
  <c r="F45" i="1" l="1"/>
  <c r="E45" i="1"/>
  <c r="D46" i="1"/>
  <c r="G45" i="1"/>
  <c r="G46" i="1" l="1"/>
  <c r="F46" i="1"/>
  <c r="E46" i="1"/>
  <c r="D47" i="1"/>
  <c r="E47" i="1" l="1"/>
  <c r="G47" i="1"/>
  <c r="D48" i="1"/>
  <c r="F47" i="1"/>
  <c r="G48" i="1" l="1"/>
  <c r="F48" i="1"/>
  <c r="E48" i="1"/>
  <c r="D49" i="1"/>
  <c r="F49" i="1" l="1"/>
  <c r="D50" i="1"/>
  <c r="G49" i="1"/>
  <c r="E49" i="1"/>
  <c r="G50" i="1" l="1"/>
  <c r="F50" i="1"/>
  <c r="E50" i="1"/>
  <c r="D51" i="1"/>
  <c r="G51" i="1" l="1"/>
  <c r="E51" i="1"/>
  <c r="F51" i="1"/>
  <c r="D52" i="1"/>
  <c r="G52" i="1" l="1"/>
  <c r="F52" i="1"/>
  <c r="E52" i="1"/>
  <c r="D53" i="1"/>
  <c r="D54" i="1" l="1"/>
  <c r="G53" i="1"/>
  <c r="F53" i="1"/>
  <c r="E53" i="1"/>
  <c r="G54" i="1" l="1"/>
  <c r="F54" i="1"/>
  <c r="E54" i="1"/>
  <c r="D55" i="1"/>
  <c r="F55" i="1" l="1"/>
  <c r="D56" i="1"/>
  <c r="G55" i="1"/>
  <c r="E55" i="1"/>
  <c r="G56" i="1" l="1"/>
  <c r="F56" i="1"/>
  <c r="E56" i="1"/>
  <c r="D57" i="1"/>
  <c r="G57" i="1" l="1"/>
  <c r="D58" i="1"/>
  <c r="F57" i="1"/>
  <c r="E57" i="1"/>
  <c r="G58" i="1" l="1"/>
  <c r="F58" i="1"/>
  <c r="E58" i="1"/>
  <c r="D59" i="1"/>
  <c r="F59" i="1" l="1"/>
  <c r="D60" i="1"/>
  <c r="G59" i="1"/>
  <c r="E59" i="1"/>
  <c r="G60" i="1" l="1"/>
  <c r="F60" i="1"/>
  <c r="E60" i="1"/>
  <c r="D61" i="1"/>
  <c r="F61" i="1" l="1"/>
  <c r="D62" i="1"/>
  <c r="G61" i="1"/>
  <c r="E61" i="1"/>
  <c r="G62" i="1" l="1"/>
  <c r="F62" i="1"/>
  <c r="E62" i="1"/>
  <c r="D63" i="1"/>
  <c r="D64" i="1" l="1"/>
  <c r="G63" i="1"/>
  <c r="F63" i="1"/>
  <c r="E63" i="1"/>
  <c r="G64" i="1" l="1"/>
  <c r="F64" i="1"/>
  <c r="E64" i="1"/>
  <c r="D65" i="1"/>
  <c r="F65" i="1" l="1"/>
  <c r="D66" i="1"/>
  <c r="G65" i="1"/>
  <c r="E65" i="1"/>
  <c r="G66" i="1" l="1"/>
  <c r="F66" i="1"/>
  <c r="E66" i="1"/>
  <c r="D67" i="1"/>
  <c r="F67" i="1" l="1"/>
  <c r="D68" i="1"/>
  <c r="G67" i="1"/>
  <c r="E67" i="1"/>
  <c r="G68" i="1" l="1"/>
  <c r="F68" i="1"/>
  <c r="E68" i="1"/>
  <c r="D69" i="1"/>
  <c r="F69" i="1" l="1"/>
  <c r="D70" i="1"/>
  <c r="G69" i="1"/>
  <c r="E69" i="1"/>
  <c r="G70" i="1" l="1"/>
  <c r="F70" i="1"/>
  <c r="E70" i="1"/>
  <c r="D71" i="1"/>
  <c r="G71" i="1" l="1"/>
  <c r="D72" i="1"/>
  <c r="F71" i="1"/>
  <c r="E71" i="1"/>
  <c r="G72" i="1" l="1"/>
  <c r="F72" i="1"/>
  <c r="E72" i="1"/>
  <c r="D73" i="1"/>
  <c r="F73" i="1" l="1"/>
  <c r="G73" i="1"/>
  <c r="D74" i="1"/>
  <c r="E73" i="1"/>
  <c r="G74" i="1" l="1"/>
  <c r="F74" i="1"/>
  <c r="E74" i="1"/>
  <c r="D75" i="1"/>
  <c r="F75" i="1" l="1"/>
  <c r="D76" i="1"/>
  <c r="G75" i="1"/>
  <c r="E75" i="1"/>
  <c r="G76" i="1" l="1"/>
  <c r="F76" i="1"/>
  <c r="E76" i="1"/>
  <c r="D77" i="1"/>
  <c r="D78" i="1" l="1"/>
  <c r="G77" i="1"/>
  <c r="F77" i="1"/>
  <c r="E77" i="1"/>
  <c r="G78" i="1" l="1"/>
  <c r="F78" i="1"/>
  <c r="E78" i="1"/>
  <c r="D79" i="1"/>
  <c r="F79" i="1" l="1"/>
  <c r="D80" i="1"/>
  <c r="G79" i="1"/>
  <c r="E79" i="1"/>
  <c r="G80" i="1" l="1"/>
  <c r="F80" i="1"/>
  <c r="E80" i="1"/>
  <c r="D81" i="1"/>
  <c r="F81" i="1" l="1"/>
  <c r="D82" i="1"/>
  <c r="G81" i="1"/>
  <c r="E81" i="1"/>
  <c r="G82" i="1" l="1"/>
  <c r="F82" i="1"/>
  <c r="E82" i="1"/>
  <c r="D83" i="1"/>
  <c r="D84" i="1" l="1"/>
  <c r="G83" i="1"/>
  <c r="F83" i="1"/>
  <c r="E83" i="1"/>
  <c r="G84" i="1" l="1"/>
  <c r="F84" i="1"/>
  <c r="E84" i="1"/>
  <c r="D85" i="1"/>
  <c r="F85" i="1" l="1"/>
  <c r="D86" i="1"/>
  <c r="G85" i="1"/>
  <c r="E85" i="1"/>
  <c r="G86" i="1" l="1"/>
  <c r="F86" i="1"/>
  <c r="E86" i="1"/>
  <c r="D87" i="1"/>
  <c r="F87" i="1" l="1"/>
  <c r="D88" i="1"/>
  <c r="G87" i="1"/>
  <c r="E87" i="1"/>
  <c r="G88" i="1" l="1"/>
  <c r="F88" i="1"/>
  <c r="E88" i="1"/>
  <c r="D89" i="1"/>
  <c r="D90" i="1" l="1"/>
  <c r="G89" i="1"/>
  <c r="F89" i="1"/>
  <c r="E89" i="1"/>
  <c r="G90" i="1" l="1"/>
  <c r="F90" i="1"/>
  <c r="E90" i="1"/>
  <c r="D91" i="1"/>
  <c r="F91" i="1" l="1"/>
  <c r="D92" i="1"/>
  <c r="G91" i="1"/>
  <c r="E91" i="1"/>
  <c r="G92" i="1" l="1"/>
  <c r="F92" i="1"/>
  <c r="E92" i="1"/>
  <c r="D93" i="1"/>
  <c r="F93" i="1" l="1"/>
  <c r="D94" i="1"/>
  <c r="G93" i="1"/>
  <c r="E93" i="1"/>
  <c r="G94" i="1" l="1"/>
  <c r="F94" i="1"/>
  <c r="E94" i="1"/>
  <c r="D95" i="1"/>
  <c r="F95" i="1" l="1"/>
  <c r="D96" i="1"/>
  <c r="G95" i="1"/>
  <c r="E95" i="1"/>
  <c r="G96" i="1" l="1"/>
  <c r="F96" i="1"/>
  <c r="E96" i="1"/>
  <c r="D97" i="1"/>
  <c r="F97" i="1" l="1"/>
  <c r="D98" i="1"/>
  <c r="G97" i="1"/>
  <c r="E97" i="1"/>
  <c r="G98" i="1" l="1"/>
  <c r="F98" i="1"/>
  <c r="E98" i="1"/>
  <c r="D99" i="1"/>
  <c r="F99" i="1" l="1"/>
  <c r="D100" i="1"/>
  <c r="G99" i="1"/>
  <c r="E99" i="1"/>
  <c r="G100" i="1" l="1"/>
  <c r="F100" i="1"/>
  <c r="E100" i="1"/>
  <c r="D101" i="1"/>
  <c r="D102" i="1" l="1"/>
  <c r="G101" i="1"/>
  <c r="F101" i="1"/>
  <c r="E101" i="1"/>
  <c r="G102" i="1" l="1"/>
  <c r="F102" i="1"/>
  <c r="E102" i="1"/>
  <c r="D103" i="1"/>
  <c r="F103" i="1" l="1"/>
  <c r="D104" i="1"/>
  <c r="G103" i="1"/>
  <c r="E103" i="1"/>
  <c r="G104" i="1" l="1"/>
  <c r="F104" i="1"/>
  <c r="E104" i="1"/>
  <c r="D105" i="1"/>
  <c r="F105" i="1" l="1"/>
  <c r="D106" i="1"/>
  <c r="G105" i="1"/>
  <c r="E105" i="1"/>
  <c r="G106" i="1" l="1"/>
  <c r="F106" i="1"/>
  <c r="E106" i="1"/>
</calcChain>
</file>

<file path=xl/sharedStrings.xml><?xml version="1.0" encoding="utf-8"?>
<sst xmlns="http://schemas.openxmlformats.org/spreadsheetml/2006/main" count="119" uniqueCount="58">
  <si>
    <t>Mohr's Circle for Area Moment of Inertia</t>
  </si>
  <si>
    <t>Inputs:</t>
  </si>
  <si>
    <t>Intermediate Calcs:</t>
  </si>
  <si>
    <t>(Ix + Iy)/2 =</t>
  </si>
  <si>
    <t>(Ix - Iy)/2 =</t>
  </si>
  <si>
    <t>For Mohr's Circle:</t>
  </si>
  <si>
    <t>Center =</t>
  </si>
  <si>
    <t>Theta</t>
  </si>
  <si>
    <t>x</t>
  </si>
  <si>
    <t>y</t>
  </si>
  <si>
    <t>No</t>
  </si>
  <si>
    <t>(Deg)</t>
  </si>
  <si>
    <t>Legend:</t>
  </si>
  <si>
    <r>
      <t xml:space="preserve">   I</t>
    </r>
    <r>
      <rPr>
        <b/>
        <vertAlign val="subscript"/>
        <sz val="11"/>
        <color theme="1"/>
        <rFont val="Arial"/>
        <family val="2"/>
      </rPr>
      <t>AVG</t>
    </r>
    <r>
      <rPr>
        <b/>
        <sz val="11"/>
        <color theme="1"/>
        <rFont val="Arial"/>
        <family val="2"/>
      </rPr>
      <t xml:space="preserve"> = Center of Circle</t>
    </r>
  </si>
  <si>
    <t xml:space="preserve">   [Ix, Ixy]  Values</t>
  </si>
  <si>
    <t xml:space="preserve">   [Iy, -Ixy]  Values</t>
  </si>
  <si>
    <t>Generating Values for Mohr's Circle</t>
  </si>
  <si>
    <t xml:space="preserve">   [Iu, Iuv]  Values</t>
  </si>
  <si>
    <t xml:space="preserve">   [Iu, -Iuv]  Values</t>
  </si>
  <si>
    <t>Radius =</t>
  </si>
  <si>
    <r>
      <t xml:space="preserve">    2</t>
    </r>
    <r>
      <rPr>
        <b/>
        <sz val="12"/>
        <color theme="1"/>
        <rFont val="Symbol"/>
        <family val="1"/>
        <charset val="2"/>
      </rPr>
      <t>q</t>
    </r>
    <r>
      <rPr>
        <b/>
        <sz val="12"/>
        <color theme="1"/>
        <rFont val="Arial"/>
        <family val="2"/>
      </rPr>
      <t xml:space="preserve"> Equations</t>
    </r>
  </si>
  <si>
    <r>
      <t xml:space="preserve">    </t>
    </r>
    <r>
      <rPr>
        <b/>
        <sz val="12"/>
        <color theme="1"/>
        <rFont val="Symbol"/>
        <family val="1"/>
        <charset val="2"/>
      </rPr>
      <t>q</t>
    </r>
    <r>
      <rPr>
        <b/>
        <sz val="12"/>
        <color theme="1"/>
        <rFont val="Arial"/>
        <family val="2"/>
      </rPr>
      <t xml:space="preserve"> Equations</t>
    </r>
  </si>
  <si>
    <r>
      <t>Results (I</t>
    </r>
    <r>
      <rPr>
        <b/>
        <vertAlign val="subscript"/>
        <sz val="11"/>
        <color theme="1"/>
        <rFont val="Verdana"/>
        <family val="2"/>
      </rPr>
      <t>u</t>
    </r>
    <r>
      <rPr>
        <b/>
        <sz val="11"/>
        <color theme="1"/>
        <rFont val="Verdana"/>
        <family val="2"/>
      </rPr>
      <t xml:space="preserve"> and I</t>
    </r>
    <r>
      <rPr>
        <b/>
        <vertAlign val="subscript"/>
        <sz val="11"/>
        <color theme="1"/>
        <rFont val="Verdana"/>
        <family val="2"/>
      </rPr>
      <t>v</t>
    </r>
    <r>
      <rPr>
        <b/>
        <sz val="11"/>
        <color theme="1"/>
        <rFont val="Verdana"/>
        <family val="2"/>
      </rPr>
      <t>):</t>
    </r>
  </si>
  <si>
    <r>
      <t>I</t>
    </r>
    <r>
      <rPr>
        <b/>
        <vertAlign val="subscript"/>
        <sz val="11"/>
        <color theme="1"/>
        <rFont val="Symbol"/>
        <family val="1"/>
        <charset val="2"/>
      </rPr>
      <t>q</t>
    </r>
    <r>
      <rPr>
        <b/>
        <sz val="11"/>
        <color theme="1"/>
        <rFont val="Verdana"/>
        <family val="2"/>
      </rPr>
      <t xml:space="preserve"> =</t>
    </r>
  </si>
  <si>
    <r>
      <rPr>
        <b/>
        <sz val="11"/>
        <color theme="1"/>
        <rFont val="Symbol"/>
        <family val="1"/>
        <charset val="2"/>
      </rPr>
      <t>q</t>
    </r>
    <r>
      <rPr>
        <b/>
        <sz val="11"/>
        <color theme="1"/>
        <rFont val="Arial"/>
        <family val="2"/>
      </rPr>
      <t xml:space="preserve"> =</t>
    </r>
  </si>
  <si>
    <r>
      <t>I</t>
    </r>
    <r>
      <rPr>
        <b/>
        <vertAlign val="subscript"/>
        <sz val="11"/>
        <color theme="1"/>
        <rFont val="Symbol"/>
        <family val="1"/>
        <charset val="2"/>
      </rPr>
      <t>q+90</t>
    </r>
    <r>
      <rPr>
        <b/>
        <sz val="11"/>
        <color theme="1"/>
        <rFont val="Verdana"/>
        <family val="2"/>
      </rPr>
      <t xml:space="preserve"> =</t>
    </r>
  </si>
  <si>
    <r>
      <t>I</t>
    </r>
    <r>
      <rPr>
        <b/>
        <vertAlign val="subscript"/>
        <sz val="11"/>
        <color theme="1"/>
        <rFont val="Verdana"/>
        <family val="2"/>
      </rPr>
      <t>uv</t>
    </r>
    <r>
      <rPr>
        <b/>
        <sz val="11"/>
        <color theme="1"/>
        <rFont val="Verdana"/>
        <family val="2"/>
      </rPr>
      <t xml:space="preserve"> =</t>
    </r>
  </si>
  <si>
    <r>
      <t xml:space="preserve">     (Using </t>
    </r>
    <r>
      <rPr>
        <b/>
        <sz val="11"/>
        <color theme="1"/>
        <rFont val="Symbol"/>
        <family val="1"/>
        <charset val="2"/>
      </rPr>
      <t>q</t>
    </r>
    <r>
      <rPr>
        <b/>
        <sz val="11"/>
        <color theme="1"/>
        <rFont val="Arial"/>
        <family val="2"/>
      </rPr>
      <t xml:space="preserve"> Equations)</t>
    </r>
  </si>
  <si>
    <r>
      <rPr>
        <b/>
        <sz val="11"/>
        <color theme="1"/>
        <rFont val="Symbol"/>
        <family val="1"/>
        <charset val="2"/>
      </rPr>
      <t>q+90</t>
    </r>
    <r>
      <rPr>
        <b/>
        <sz val="11"/>
        <color theme="1"/>
        <rFont val="Arial"/>
        <family val="2"/>
      </rPr>
      <t xml:space="preserve"> =</t>
    </r>
  </si>
  <si>
    <r>
      <t>I</t>
    </r>
    <r>
      <rPr>
        <b/>
        <vertAlign val="subscript"/>
        <sz val="11"/>
        <color theme="1"/>
        <rFont val="Verdana"/>
        <family val="2"/>
      </rPr>
      <t>u</t>
    </r>
    <r>
      <rPr>
        <b/>
        <sz val="11"/>
        <color theme="1"/>
        <rFont val="Verdana"/>
        <family val="2"/>
      </rPr>
      <t xml:space="preserve"> =</t>
    </r>
  </si>
  <si>
    <r>
      <t>I</t>
    </r>
    <r>
      <rPr>
        <b/>
        <vertAlign val="subscript"/>
        <sz val="11"/>
        <color theme="1"/>
        <rFont val="Verdana"/>
        <family val="2"/>
      </rPr>
      <t>v</t>
    </r>
    <r>
      <rPr>
        <b/>
        <sz val="11"/>
        <color theme="1"/>
        <rFont val="Verdana"/>
        <family val="2"/>
      </rPr>
      <t xml:space="preserve"> =</t>
    </r>
  </si>
  <si>
    <r>
      <t>I</t>
    </r>
    <r>
      <rPr>
        <b/>
        <vertAlign val="subscript"/>
        <sz val="11"/>
        <color theme="1"/>
        <rFont val="Verdana"/>
        <family val="2"/>
      </rPr>
      <t>x</t>
    </r>
    <r>
      <rPr>
        <b/>
        <sz val="11"/>
        <color theme="1"/>
        <rFont val="Verdana"/>
        <family val="2"/>
      </rPr>
      <t xml:space="preserve"> =</t>
    </r>
  </si>
  <si>
    <r>
      <t>I</t>
    </r>
    <r>
      <rPr>
        <b/>
        <vertAlign val="subscript"/>
        <sz val="11"/>
        <color theme="1"/>
        <rFont val="Verdana"/>
        <family val="2"/>
      </rPr>
      <t>y</t>
    </r>
    <r>
      <rPr>
        <b/>
        <sz val="11"/>
        <color theme="1"/>
        <rFont val="Verdana"/>
        <family val="2"/>
      </rPr>
      <t xml:space="preserve"> =</t>
    </r>
  </si>
  <si>
    <r>
      <t>I</t>
    </r>
    <r>
      <rPr>
        <b/>
        <vertAlign val="subscript"/>
        <sz val="11"/>
        <color theme="1"/>
        <rFont val="Verdana"/>
        <family val="2"/>
      </rPr>
      <t>xy</t>
    </r>
    <r>
      <rPr>
        <b/>
        <sz val="11"/>
        <color theme="1"/>
        <rFont val="Verdana"/>
        <family val="2"/>
      </rPr>
      <t xml:space="preserve"> =</t>
    </r>
  </si>
  <si>
    <r>
      <rPr>
        <b/>
        <sz val="11"/>
        <color theme="1"/>
        <rFont val="Symbol"/>
        <family val="1"/>
        <charset val="2"/>
      </rPr>
      <t>q</t>
    </r>
    <r>
      <rPr>
        <b/>
        <vertAlign val="subscript"/>
        <sz val="11"/>
        <color theme="1"/>
        <rFont val="Arial"/>
        <family val="2"/>
      </rPr>
      <t>u</t>
    </r>
    <r>
      <rPr>
        <b/>
        <sz val="11"/>
        <color theme="1"/>
        <rFont val="Arial"/>
        <family val="2"/>
      </rPr>
      <t xml:space="preserve"> =</t>
    </r>
  </si>
  <si>
    <t>(These calcs use the Ix, Iy and Ixy in cells D4:D6</t>
  </si>
  <si>
    <r>
      <t xml:space="preserve">Start </t>
    </r>
    <r>
      <rPr>
        <b/>
        <sz val="10"/>
        <color theme="1"/>
        <rFont val="Symbol"/>
        <family val="1"/>
        <charset val="2"/>
      </rPr>
      <t>q</t>
    </r>
    <r>
      <rPr>
        <b/>
        <sz val="10"/>
        <color theme="1"/>
        <rFont val="Arial"/>
        <family val="2"/>
      </rPr>
      <t xml:space="preserve"> =</t>
    </r>
  </si>
  <si>
    <r>
      <t xml:space="preserve">Step </t>
    </r>
    <r>
      <rPr>
        <b/>
        <sz val="10"/>
        <color theme="1"/>
        <rFont val="Symbol"/>
        <family val="1"/>
        <charset val="2"/>
      </rPr>
      <t>q</t>
    </r>
    <r>
      <rPr>
        <b/>
        <sz val="10"/>
        <color theme="1"/>
        <rFont val="Arial"/>
        <family val="2"/>
      </rPr>
      <t xml:space="preserve"> =</t>
    </r>
  </si>
  <si>
    <t>Generating Values for Iu and Iuv Plots</t>
  </si>
  <si>
    <t>Step Size =</t>
  </si>
  <si>
    <r>
      <rPr>
        <b/>
        <sz val="11"/>
        <color theme="1"/>
        <rFont val="Symbol"/>
        <family val="1"/>
        <charset val="2"/>
      </rPr>
      <t>q</t>
    </r>
    <r>
      <rPr>
        <b/>
        <vertAlign val="subscript"/>
        <sz val="11"/>
        <color theme="1"/>
        <rFont val="Arial"/>
        <family val="2"/>
      </rPr>
      <t>v</t>
    </r>
    <r>
      <rPr>
        <b/>
        <sz val="11"/>
        <color theme="1"/>
        <rFont val="Arial"/>
        <family val="2"/>
      </rPr>
      <t xml:space="preserve"> =</t>
    </r>
  </si>
  <si>
    <r>
      <t>I</t>
    </r>
    <r>
      <rPr>
        <b/>
        <vertAlign val="subscript"/>
        <sz val="11"/>
        <color theme="1"/>
        <rFont val="Verdana"/>
        <family val="2"/>
      </rPr>
      <t>MAX</t>
    </r>
    <r>
      <rPr>
        <b/>
        <sz val="11"/>
        <color theme="1"/>
        <rFont val="Verdana"/>
        <family val="2"/>
      </rPr>
      <t xml:space="preserve"> =</t>
    </r>
  </si>
  <si>
    <r>
      <t>I</t>
    </r>
    <r>
      <rPr>
        <b/>
        <vertAlign val="subscript"/>
        <sz val="11"/>
        <color theme="1"/>
        <rFont val="Verdana"/>
        <family val="2"/>
      </rPr>
      <t>MIN</t>
    </r>
    <r>
      <rPr>
        <b/>
        <sz val="11"/>
        <color theme="1"/>
        <rFont val="Verdana"/>
        <family val="2"/>
      </rPr>
      <t xml:space="preserve"> =</t>
    </r>
  </si>
  <si>
    <r>
      <rPr>
        <b/>
        <sz val="11"/>
        <color theme="1"/>
        <rFont val="Symbol"/>
        <family val="1"/>
        <charset val="2"/>
      </rPr>
      <t>q</t>
    </r>
    <r>
      <rPr>
        <b/>
        <vertAlign val="subscript"/>
        <sz val="11"/>
        <color theme="1"/>
        <rFont val="Arial"/>
        <family val="2"/>
      </rPr>
      <t>p</t>
    </r>
    <r>
      <rPr>
        <b/>
        <sz val="11"/>
        <color theme="1"/>
        <rFont val="Arial"/>
        <family val="2"/>
      </rPr>
      <t xml:space="preserve"> =</t>
    </r>
  </si>
  <si>
    <r>
      <t xml:space="preserve">   I</t>
    </r>
    <r>
      <rPr>
        <b/>
        <vertAlign val="subscript"/>
        <sz val="11"/>
        <color theme="1"/>
        <rFont val="Verdana"/>
        <family val="2"/>
      </rPr>
      <t>MAX</t>
    </r>
    <r>
      <rPr>
        <b/>
        <sz val="11"/>
        <color theme="1"/>
        <rFont val="Verdana"/>
        <family val="2"/>
      </rPr>
      <t xml:space="preserve"> and I</t>
    </r>
    <r>
      <rPr>
        <b/>
        <vertAlign val="subscript"/>
        <sz val="11"/>
        <color theme="1"/>
        <rFont val="Verdana"/>
        <family val="2"/>
      </rPr>
      <t>MIN</t>
    </r>
  </si>
  <si>
    <r>
      <rPr>
        <b/>
        <sz val="11"/>
        <color theme="1"/>
        <rFont val="Verdana"/>
        <family val="2"/>
      </rPr>
      <t xml:space="preserve">   I</t>
    </r>
    <r>
      <rPr>
        <b/>
        <vertAlign val="subscript"/>
        <sz val="11"/>
        <color theme="1"/>
        <rFont val="Verdana"/>
        <family val="2"/>
      </rPr>
      <t>AVG</t>
    </r>
    <r>
      <rPr>
        <b/>
        <sz val="11"/>
        <color theme="1"/>
        <rFont val="Verdana"/>
        <family val="2"/>
      </rPr>
      <t xml:space="preserve"> =</t>
    </r>
    <r>
      <rPr>
        <b/>
        <sz val="11"/>
        <color theme="1"/>
        <rFont val="Arial"/>
        <family val="2"/>
      </rPr>
      <t xml:space="preserve"> Center of Circle</t>
    </r>
  </si>
  <si>
    <r>
      <t xml:space="preserve">(Iu, Iv, Iuv rotated at </t>
    </r>
    <r>
      <rPr>
        <b/>
        <sz val="11"/>
        <color theme="1"/>
        <rFont val="Symbol"/>
        <family val="1"/>
        <charset val="2"/>
      </rPr>
      <t>q</t>
    </r>
    <r>
      <rPr>
        <b/>
        <vertAlign val="subscript"/>
        <sz val="11"/>
        <color theme="1"/>
        <rFont val="Verdana"/>
        <family val="2"/>
      </rPr>
      <t>u</t>
    </r>
    <r>
      <rPr>
        <b/>
        <sz val="11"/>
        <color theme="1"/>
        <rFont val="Verdana"/>
        <family val="2"/>
      </rPr>
      <t>)</t>
    </r>
  </si>
  <si>
    <t xml:space="preserve"> (For rotation, Iu, Iv, Iuv)</t>
  </si>
  <si>
    <r>
      <t>I</t>
    </r>
    <r>
      <rPr>
        <b/>
        <vertAlign val="subscript"/>
        <sz val="11"/>
        <color theme="1"/>
        <rFont val="Verdana"/>
        <family val="2"/>
      </rPr>
      <t>u</t>
    </r>
  </si>
  <si>
    <r>
      <t>I</t>
    </r>
    <r>
      <rPr>
        <b/>
        <vertAlign val="subscript"/>
        <sz val="11"/>
        <color theme="1"/>
        <rFont val="Verdana"/>
        <family val="2"/>
      </rPr>
      <t>v</t>
    </r>
  </si>
  <si>
    <r>
      <t>I</t>
    </r>
    <r>
      <rPr>
        <b/>
        <vertAlign val="subscript"/>
        <sz val="11"/>
        <color theme="1"/>
        <rFont val="Verdana"/>
        <family val="2"/>
      </rPr>
      <t>uv</t>
    </r>
  </si>
  <si>
    <r>
      <t xml:space="preserve">Current </t>
    </r>
    <r>
      <rPr>
        <b/>
        <sz val="11"/>
        <color theme="1"/>
        <rFont val="Symbol"/>
        <family val="1"/>
        <charset val="2"/>
      </rPr>
      <t>q</t>
    </r>
    <r>
      <rPr>
        <b/>
        <sz val="10"/>
        <color theme="1"/>
        <rFont val="Arial"/>
        <family val="2"/>
      </rPr>
      <t xml:space="preserve"> (at current step) = </t>
    </r>
  </si>
  <si>
    <r>
      <t>Current 2</t>
    </r>
    <r>
      <rPr>
        <b/>
        <sz val="11"/>
        <color theme="1"/>
        <rFont val="Symbol"/>
        <family val="1"/>
        <charset val="2"/>
      </rPr>
      <t>q</t>
    </r>
    <r>
      <rPr>
        <b/>
        <sz val="10"/>
        <color theme="1"/>
        <rFont val="Arial"/>
        <family val="2"/>
      </rPr>
      <t xml:space="preserve"> (at current step) = </t>
    </r>
  </si>
  <si>
    <t xml:space="preserve"> (measured from x orientation)</t>
  </si>
  <si>
    <t>Inputs for Step MC Button:</t>
  </si>
  <si>
    <t xml:space="preserve">For Animation, Number of Steps = </t>
  </si>
  <si>
    <t>For Animation, Step Size (deg) =</t>
  </si>
  <si>
    <r>
      <t>in</t>
    </r>
    <r>
      <rPr>
        <b/>
        <vertAlign val="superscript"/>
        <sz val="12"/>
        <color theme="1"/>
        <rFont val="Arial"/>
        <family val="2"/>
      </rPr>
      <t>4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</si>
</sst>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2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Symbol"/>
      <family val="1"/>
      <charset val="2"/>
    </font>
    <font>
      <b/>
      <sz val="10"/>
      <color theme="1"/>
      <name val="Verdana"/>
      <family val="2"/>
    </font>
    <font>
      <b/>
      <vertAlign val="subscript"/>
      <sz val="11"/>
      <color theme="1"/>
      <name val="Arial"/>
      <family val="2"/>
    </font>
    <font>
      <sz val="10"/>
      <color theme="1"/>
      <name val="Verdana"/>
      <family val="2"/>
    </font>
    <font>
      <b/>
      <sz val="11"/>
      <color theme="1"/>
      <name val="Symbol"/>
      <family val="1"/>
      <charset val="2"/>
    </font>
    <font>
      <b/>
      <sz val="12"/>
      <color theme="1"/>
      <name val="Arial"/>
      <family val="2"/>
    </font>
    <font>
      <b/>
      <sz val="12"/>
      <color theme="1"/>
      <name val="Symbol"/>
      <family val="1"/>
      <charset val="2"/>
    </font>
    <font>
      <b/>
      <sz val="11"/>
      <color theme="1"/>
      <name val="Verdana"/>
      <family val="2"/>
    </font>
    <font>
      <b/>
      <vertAlign val="subscript"/>
      <sz val="11"/>
      <color theme="1"/>
      <name val="Verdana"/>
      <family val="2"/>
    </font>
    <font>
      <b/>
      <vertAlign val="subscript"/>
      <sz val="11"/>
      <color theme="1"/>
      <name val="Symbol"/>
      <family val="1"/>
      <charset val="2"/>
    </font>
    <font>
      <b/>
      <sz val="11"/>
      <color theme="1"/>
      <name val="Arial"/>
      <family val="1"/>
      <charset val="2"/>
    </font>
    <font>
      <sz val="11"/>
      <color theme="1"/>
      <name val="Arial"/>
      <family val="2"/>
    </font>
    <font>
      <sz val="11"/>
      <color theme="1"/>
      <name val="Verdana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theme="1"/>
      <name val="Arial"/>
      <family val="2"/>
    </font>
    <font>
      <b/>
      <vertAlign val="superscript"/>
      <sz val="12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3" fillId="0" borderId="0" xfId="0" applyFont="1"/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9" fillId="4" borderId="0" xfId="0" applyFont="1" applyFill="1"/>
    <xf numFmtId="0" fontId="3" fillId="4" borderId="0" xfId="0" applyFont="1" applyFill="1"/>
    <xf numFmtId="0" fontId="11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65" fontId="15" fillId="0" borderId="1" xfId="0" applyNumberFormat="1" applyFont="1" applyBorder="1" applyAlignment="1">
      <alignment horizontal="center" vertical="center"/>
    </xf>
    <xf numFmtId="2" fontId="15" fillId="0" borderId="1" xfId="0" applyNumberFormat="1" applyFont="1" applyBorder="1" applyAlignment="1">
      <alignment horizontal="center" vertical="center"/>
    </xf>
    <xf numFmtId="0" fontId="11" fillId="4" borderId="0" xfId="0" applyFont="1" applyFill="1"/>
    <xf numFmtId="0" fontId="3" fillId="4" borderId="0" xfId="0" applyFont="1" applyFill="1" applyAlignment="1">
      <alignment horizontal="center" vertical="center"/>
    </xf>
    <xf numFmtId="0" fontId="1" fillId="4" borderId="0" xfId="0" applyFont="1" applyFill="1"/>
    <xf numFmtId="0" fontId="3" fillId="4" borderId="0" xfId="0" applyFont="1" applyFill="1" applyAlignment="1">
      <alignment horizontal="center"/>
    </xf>
    <xf numFmtId="0" fontId="15" fillId="0" borderId="0" xfId="0" applyFont="1"/>
    <xf numFmtId="164" fontId="15" fillId="0" borderId="1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15" fillId="0" borderId="0" xfId="0" applyFont="1" applyAlignment="1">
      <alignment horizontal="center"/>
    </xf>
    <xf numFmtId="0" fontId="11" fillId="0" borderId="0" xfId="0" applyFont="1" applyAlignment="1">
      <alignment horizontal="left" vertical="center"/>
    </xf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164" fontId="15" fillId="0" borderId="0" xfId="0" applyNumberFormat="1" applyFont="1" applyAlignment="1">
      <alignment horizontal="center"/>
    </xf>
    <xf numFmtId="0" fontId="11" fillId="5" borderId="0" xfId="0" applyFont="1" applyFill="1"/>
    <xf numFmtId="0" fontId="15" fillId="5" borderId="0" xfId="0" applyFont="1" applyFill="1"/>
    <xf numFmtId="0" fontId="14" fillId="5" borderId="0" xfId="0" applyFont="1" applyFill="1" applyAlignment="1">
      <alignment horizontal="center" vertical="center"/>
    </xf>
    <xf numFmtId="0" fontId="11" fillId="2" borderId="0" xfId="0" applyFont="1" applyFill="1"/>
    <xf numFmtId="0" fontId="11" fillId="2" borderId="0" xfId="0" applyFont="1" applyFill="1" applyAlignment="1">
      <alignment horizontal="center" vertical="center"/>
    </xf>
    <xf numFmtId="0" fontId="15" fillId="2" borderId="0" xfId="0" applyFont="1" applyFill="1"/>
    <xf numFmtId="0" fontId="5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vertical="center"/>
    </xf>
    <xf numFmtId="0" fontId="15" fillId="6" borderId="0" xfId="0" applyFont="1" applyFill="1"/>
    <xf numFmtId="0" fontId="11" fillId="7" borderId="0" xfId="0" applyFont="1" applyFill="1"/>
    <xf numFmtId="0" fontId="15" fillId="7" borderId="0" xfId="0" applyFont="1" applyFill="1"/>
    <xf numFmtId="0" fontId="11" fillId="7" borderId="0" xfId="0" applyFont="1" applyFill="1" applyAlignment="1">
      <alignment horizontal="center"/>
    </xf>
    <xf numFmtId="0" fontId="11" fillId="7" borderId="0" xfId="0" applyFont="1" applyFill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2" fontId="1" fillId="4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" fillId="6" borderId="0" xfId="0" applyFont="1" applyFill="1" applyAlignment="1">
      <alignment vertical="center"/>
    </xf>
    <xf numFmtId="0" fontId="2" fillId="0" borderId="1" xfId="0" applyFont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11" fillId="3" borderId="3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4" borderId="0" xfId="0" applyFont="1" applyFill="1" applyAlignment="1">
      <alignment vertical="center"/>
    </xf>
    <xf numFmtId="0" fontId="2" fillId="4" borderId="0" xfId="0" applyFont="1" applyFill="1" applyAlignment="1">
      <alignment horizontal="right"/>
    </xf>
    <xf numFmtId="0" fontId="19" fillId="0" borderId="0" xfId="0" applyFont="1"/>
    <xf numFmtId="0" fontId="9" fillId="0" borderId="0" xfId="0" applyFont="1" applyAlignment="1">
      <alignment horizontal="center" vertical="center"/>
    </xf>
    <xf numFmtId="0" fontId="3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FFCC"/>
      <color rgb="FFFFFFCC"/>
      <color rgb="FF00CC00"/>
      <color rgb="FF0000FF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tx1"/>
                </a:solidFill>
              </a:rPr>
              <a:t>Mohr's Circle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6592196451271"/>
          <c:y val="9.0206158717759943E-2"/>
          <c:w val="0.83449540381536247"/>
          <c:h val="0.83664266030605128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'Iu and Iv, 2 Theta Eqn'!$K$27:$K$99</c:f>
              <c:numCache>
                <c:formatCode>0.000</c:formatCode>
                <c:ptCount val="73"/>
                <c:pt idx="0">
                  <c:v>7.5397568299191962</c:v>
                </c:pt>
                <c:pt idx="1">
                  <c:v>7.5272383119766113</c:v>
                </c:pt>
                <c:pt idx="2">
                  <c:v>7.4897780316292888</c:v>
                </c:pt>
                <c:pt idx="3">
                  <c:v>7.4276610842298059</c:v>
                </c:pt>
                <c:pt idx="4">
                  <c:v>7.3413602172551116</c:v>
                </c:pt>
                <c:pt idx="5">
                  <c:v>7.2315322324127713</c:v>
                </c:pt>
                <c:pt idx="6">
                  <c:v>7.0990129869833876</c:v>
                </c:pt>
                <c:pt idx="7">
                  <c:v>6.9448110324419829</c:v>
                </c:pt>
                <c:pt idx="8">
                  <c:v>6.7700999387723044</c:v>
                </c:pt>
                <c:pt idx="9">
                  <c:v>6.5762093628906229</c:v>
                </c:pt>
                <c:pt idx="10">
                  <c:v>6.3646149291537277</c:v>
                </c:pt>
                <c:pt idx="11">
                  <c:v>6.1369269989665671</c:v>
                </c:pt>
                <c:pt idx="12">
                  <c:v>5.8948784149595985</c:v>
                </c:pt>
                <c:pt idx="13">
                  <c:v>5.6403113130100442</c:v>
                </c:pt>
                <c:pt idx="14">
                  <c:v>5.3751631024755611</c:v>
                </c:pt>
                <c:pt idx="15">
                  <c:v>5.1014517213391821</c:v>
                </c:pt>
                <c:pt idx="16">
                  <c:v>4.8212602784828062</c:v>
                </c:pt>
                <c:pt idx="17">
                  <c:v>4.5367211999707884</c:v>
                </c:pt>
                <c:pt idx="18">
                  <c:v>4.25</c:v>
                </c:pt>
                <c:pt idx="19">
                  <c:v>3.9632788000292107</c:v>
                </c:pt>
                <c:pt idx="20">
                  <c:v>3.6787397215171938</c:v>
                </c:pt>
                <c:pt idx="21">
                  <c:v>3.3985482786608174</c:v>
                </c:pt>
                <c:pt idx="22">
                  <c:v>3.1248368975244389</c:v>
                </c:pt>
                <c:pt idx="23">
                  <c:v>2.8596886869899558</c:v>
                </c:pt>
                <c:pt idx="24">
                  <c:v>2.6051215850404024</c:v>
                </c:pt>
                <c:pt idx="25">
                  <c:v>2.3630730010334329</c:v>
                </c:pt>
                <c:pt idx="26">
                  <c:v>2.1353850708462727</c:v>
                </c:pt>
                <c:pt idx="27">
                  <c:v>1.9237906371093771</c:v>
                </c:pt>
                <c:pt idx="28">
                  <c:v>1.7299000612276951</c:v>
                </c:pt>
                <c:pt idx="29">
                  <c:v>1.5551889675580171</c:v>
                </c:pt>
                <c:pt idx="30">
                  <c:v>1.4009870130166129</c:v>
                </c:pt>
                <c:pt idx="31">
                  <c:v>1.2684677675872287</c:v>
                </c:pt>
                <c:pt idx="32">
                  <c:v>1.1586397827448889</c:v>
                </c:pt>
                <c:pt idx="33">
                  <c:v>1.072338915770195</c:v>
                </c:pt>
                <c:pt idx="34">
                  <c:v>1.0102219683707117</c:v>
                </c:pt>
                <c:pt idx="35">
                  <c:v>0.97276168802338869</c:v>
                </c:pt>
                <c:pt idx="36">
                  <c:v>0.96024317008080384</c:v>
                </c:pt>
                <c:pt idx="37">
                  <c:v>0.97276168802338869</c:v>
                </c:pt>
                <c:pt idx="38">
                  <c:v>1.0102219683707117</c:v>
                </c:pt>
                <c:pt idx="39">
                  <c:v>1.0723389157701946</c:v>
                </c:pt>
                <c:pt idx="40">
                  <c:v>1.1586397827448884</c:v>
                </c:pt>
                <c:pt idx="41">
                  <c:v>1.2684677675872282</c:v>
                </c:pt>
                <c:pt idx="42">
                  <c:v>1.4009870130166133</c:v>
                </c:pt>
                <c:pt idx="43">
                  <c:v>1.5551889675580175</c:v>
                </c:pt>
                <c:pt idx="44">
                  <c:v>1.7299000612276951</c:v>
                </c:pt>
                <c:pt idx="45">
                  <c:v>1.9237906371093763</c:v>
                </c:pt>
                <c:pt idx="46">
                  <c:v>2.1353850708462723</c:v>
                </c:pt>
                <c:pt idx="47">
                  <c:v>2.363073001033432</c:v>
                </c:pt>
                <c:pt idx="48">
                  <c:v>2.6051215850404006</c:v>
                </c:pt>
                <c:pt idx="49">
                  <c:v>2.8596886869899567</c:v>
                </c:pt>
                <c:pt idx="50">
                  <c:v>3.1248368975244398</c:v>
                </c:pt>
                <c:pt idx="51">
                  <c:v>3.3985482786608183</c:v>
                </c:pt>
                <c:pt idx="52">
                  <c:v>3.6787397215171938</c:v>
                </c:pt>
                <c:pt idx="53">
                  <c:v>3.9632788000292107</c:v>
                </c:pt>
                <c:pt idx="54">
                  <c:v>4.2499999999999991</c:v>
                </c:pt>
                <c:pt idx="55">
                  <c:v>4.5367211999707884</c:v>
                </c:pt>
                <c:pt idx="56">
                  <c:v>4.8212602784828054</c:v>
                </c:pt>
                <c:pt idx="57">
                  <c:v>5.1014517213391803</c:v>
                </c:pt>
                <c:pt idx="58">
                  <c:v>5.3751631024755619</c:v>
                </c:pt>
                <c:pt idx="59">
                  <c:v>5.6403113130100451</c:v>
                </c:pt>
                <c:pt idx="60">
                  <c:v>5.8948784149595985</c:v>
                </c:pt>
                <c:pt idx="61">
                  <c:v>6.1369269989665671</c:v>
                </c:pt>
                <c:pt idx="62">
                  <c:v>6.3646149291537268</c:v>
                </c:pt>
                <c:pt idx="63">
                  <c:v>6.5762093628906229</c:v>
                </c:pt>
                <c:pt idx="64">
                  <c:v>6.7700999387723044</c:v>
                </c:pt>
                <c:pt idx="65">
                  <c:v>6.9448110324419821</c:v>
                </c:pt>
                <c:pt idx="66">
                  <c:v>7.0990129869833858</c:v>
                </c:pt>
                <c:pt idx="67">
                  <c:v>7.2315322324127713</c:v>
                </c:pt>
                <c:pt idx="68">
                  <c:v>7.3413602172551116</c:v>
                </c:pt>
                <c:pt idx="69">
                  <c:v>7.4276610842298059</c:v>
                </c:pt>
                <c:pt idx="70">
                  <c:v>7.4897780316292888</c:v>
                </c:pt>
                <c:pt idx="71">
                  <c:v>7.5272383119766113</c:v>
                </c:pt>
                <c:pt idx="72">
                  <c:v>7.5397568299191962</c:v>
                </c:pt>
              </c:numCache>
            </c:numRef>
          </c:xVal>
          <c:yVal>
            <c:numRef>
              <c:f>'Iu and Iv, 2 Theta Eqn'!$L$27:$L$99</c:f>
              <c:numCache>
                <c:formatCode>0.000</c:formatCode>
                <c:ptCount val="73"/>
                <c:pt idx="0">
                  <c:v>0</c:v>
                </c:pt>
                <c:pt idx="1">
                  <c:v>0.28672119997078888</c:v>
                </c:pt>
                <c:pt idx="2">
                  <c:v>0.57126027848280603</c:v>
                </c:pt>
                <c:pt idx="3">
                  <c:v>0.85145172133918212</c:v>
                </c:pt>
                <c:pt idx="4">
                  <c:v>1.1251631024755611</c:v>
                </c:pt>
                <c:pt idx="5">
                  <c:v>1.3903113130100444</c:v>
                </c:pt>
                <c:pt idx="6">
                  <c:v>1.6448784149595979</c:v>
                </c:pt>
                <c:pt idx="7">
                  <c:v>1.8869269989665669</c:v>
                </c:pt>
                <c:pt idx="8">
                  <c:v>2.1146149291537268</c:v>
                </c:pt>
                <c:pt idx="9">
                  <c:v>2.3262093628906229</c:v>
                </c:pt>
                <c:pt idx="10">
                  <c:v>2.5200999387723049</c:v>
                </c:pt>
                <c:pt idx="11">
                  <c:v>2.6948110324419825</c:v>
                </c:pt>
                <c:pt idx="12">
                  <c:v>2.8490129869833867</c:v>
                </c:pt>
                <c:pt idx="13">
                  <c:v>2.9815322324127713</c:v>
                </c:pt>
                <c:pt idx="14">
                  <c:v>3.0913602172551111</c:v>
                </c:pt>
                <c:pt idx="15">
                  <c:v>3.1776610842298054</c:v>
                </c:pt>
                <c:pt idx="16">
                  <c:v>3.2397780316292883</c:v>
                </c:pt>
                <c:pt idx="17">
                  <c:v>3.2772383119766113</c:v>
                </c:pt>
                <c:pt idx="18">
                  <c:v>3.2897568299191962</c:v>
                </c:pt>
                <c:pt idx="19">
                  <c:v>3.2772383119766113</c:v>
                </c:pt>
                <c:pt idx="20">
                  <c:v>3.2397780316292883</c:v>
                </c:pt>
                <c:pt idx="21">
                  <c:v>3.1776610842298054</c:v>
                </c:pt>
                <c:pt idx="22">
                  <c:v>3.0913602172551116</c:v>
                </c:pt>
                <c:pt idx="23">
                  <c:v>2.9815322324127718</c:v>
                </c:pt>
                <c:pt idx="24">
                  <c:v>2.8490129869833871</c:v>
                </c:pt>
                <c:pt idx="25">
                  <c:v>2.6948110324419821</c:v>
                </c:pt>
                <c:pt idx="26">
                  <c:v>2.5200999387723049</c:v>
                </c:pt>
                <c:pt idx="27">
                  <c:v>2.3262093628906233</c:v>
                </c:pt>
                <c:pt idx="28">
                  <c:v>2.1146149291537277</c:v>
                </c:pt>
                <c:pt idx="29">
                  <c:v>1.8869269989665665</c:v>
                </c:pt>
                <c:pt idx="30">
                  <c:v>1.6448784149595979</c:v>
                </c:pt>
                <c:pt idx="31">
                  <c:v>1.3903113130100446</c:v>
                </c:pt>
                <c:pt idx="32">
                  <c:v>1.1251631024755615</c:v>
                </c:pt>
                <c:pt idx="33">
                  <c:v>0.85145172133918301</c:v>
                </c:pt>
                <c:pt idx="34">
                  <c:v>0.57126027848280592</c:v>
                </c:pt>
                <c:pt idx="35">
                  <c:v>0.28672119997078899</c:v>
                </c:pt>
                <c:pt idx="36">
                  <c:v>4.0304404972005831E-16</c:v>
                </c:pt>
                <c:pt idx="37">
                  <c:v>-0.28672119997078815</c:v>
                </c:pt>
                <c:pt idx="38">
                  <c:v>-0.57126027848280658</c:v>
                </c:pt>
                <c:pt idx="39">
                  <c:v>-0.85145172133918223</c:v>
                </c:pt>
                <c:pt idx="40">
                  <c:v>-1.1251631024755608</c:v>
                </c:pt>
                <c:pt idx="41">
                  <c:v>-1.390311313010044</c:v>
                </c:pt>
                <c:pt idx="42">
                  <c:v>-1.6448784149595985</c:v>
                </c:pt>
                <c:pt idx="43">
                  <c:v>-1.8869269989665671</c:v>
                </c:pt>
                <c:pt idx="44">
                  <c:v>-2.1146149291537268</c:v>
                </c:pt>
                <c:pt idx="45">
                  <c:v>-2.3262093628906229</c:v>
                </c:pt>
                <c:pt idx="46">
                  <c:v>-2.5200999387723049</c:v>
                </c:pt>
                <c:pt idx="47">
                  <c:v>-2.6948110324419821</c:v>
                </c:pt>
                <c:pt idx="48">
                  <c:v>-2.8490129869833858</c:v>
                </c:pt>
                <c:pt idx="49">
                  <c:v>-2.9815322324127718</c:v>
                </c:pt>
                <c:pt idx="50">
                  <c:v>-3.0913602172551116</c:v>
                </c:pt>
                <c:pt idx="51">
                  <c:v>-3.1776610842298054</c:v>
                </c:pt>
                <c:pt idx="52">
                  <c:v>-3.2397780316292883</c:v>
                </c:pt>
                <c:pt idx="53">
                  <c:v>-3.2772383119766113</c:v>
                </c:pt>
                <c:pt idx="54">
                  <c:v>-3.2897568299191962</c:v>
                </c:pt>
                <c:pt idx="55">
                  <c:v>-3.2772383119766113</c:v>
                </c:pt>
                <c:pt idx="56">
                  <c:v>-3.2397780316292883</c:v>
                </c:pt>
                <c:pt idx="57">
                  <c:v>-3.1776610842298059</c:v>
                </c:pt>
                <c:pt idx="58">
                  <c:v>-3.0913602172551111</c:v>
                </c:pt>
                <c:pt idx="59">
                  <c:v>-2.9815322324127713</c:v>
                </c:pt>
                <c:pt idx="60">
                  <c:v>-2.8490129869833867</c:v>
                </c:pt>
                <c:pt idx="61">
                  <c:v>-2.6948110324419825</c:v>
                </c:pt>
                <c:pt idx="62">
                  <c:v>-2.5200999387723053</c:v>
                </c:pt>
                <c:pt idx="63">
                  <c:v>-2.3262093628906237</c:v>
                </c:pt>
                <c:pt idx="64">
                  <c:v>-2.1146149291537282</c:v>
                </c:pt>
                <c:pt idx="65">
                  <c:v>-1.8869269989665682</c:v>
                </c:pt>
                <c:pt idx="66">
                  <c:v>-1.6448784149595996</c:v>
                </c:pt>
                <c:pt idx="67">
                  <c:v>-1.3903113130100437</c:v>
                </c:pt>
                <c:pt idx="68">
                  <c:v>-1.1251631024755606</c:v>
                </c:pt>
                <c:pt idx="69">
                  <c:v>-0.8514517213391819</c:v>
                </c:pt>
                <c:pt idx="70">
                  <c:v>-0.57126027848280625</c:v>
                </c:pt>
                <c:pt idx="71">
                  <c:v>-0.28672119997078938</c:v>
                </c:pt>
                <c:pt idx="72">
                  <c:v>-8.0608809944011662E-16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CF-4589-94ED-9B4C954F4EBC}"/>
            </c:ext>
          </c:extLst>
        </c:ser>
        <c:ser>
          <c:idx val="1"/>
          <c:order val="1"/>
          <c:spPr>
            <a:ln w="508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'Iu and Iv, 2 Theta Eqn'!$F$19</c:f>
              <c:numCache>
                <c:formatCode>0.000</c:formatCode>
                <c:ptCount val="1"/>
                <c:pt idx="0">
                  <c:v>4.25</c:v>
                </c:pt>
              </c:numCache>
            </c:numRef>
          </c:xVal>
          <c:yVal>
            <c:numRef>
              <c:f>'Iu and Iv, 2 Theta Eqn'!$G$19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CF-4589-94ED-9B4C954F4EBC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rgbClr val="0000FF"/>
              </a:solidFill>
              <a:ln w="25400">
                <a:solidFill>
                  <a:srgbClr val="0000FF"/>
                </a:solidFill>
              </a:ln>
              <a:effectLst/>
            </c:spPr>
          </c:marker>
          <c:xVal>
            <c:numRef>
              <c:f>'Iu and Iv, 2 Theta Eqn'!$D$4</c:f>
              <c:numCache>
                <c:formatCode>0.000</c:formatCode>
                <c:ptCount val="1"/>
                <c:pt idx="0">
                  <c:v>2.9</c:v>
                </c:pt>
              </c:numCache>
            </c:numRef>
          </c:xVal>
          <c:yVal>
            <c:numRef>
              <c:f>'Iu and Iv, 2 Theta Eqn'!$E$4</c:f>
              <c:numCache>
                <c:formatCode>0.00</c:formatCode>
                <c:ptCount val="1"/>
                <c:pt idx="0">
                  <c:v>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CF-4589-94ED-9B4C954F4EBC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rgbClr val="00CC00"/>
              </a:solidFill>
              <a:ln w="25400">
                <a:solidFill>
                  <a:srgbClr val="00CC00"/>
                </a:solidFill>
              </a:ln>
              <a:effectLst/>
            </c:spPr>
          </c:marker>
          <c:xVal>
            <c:numRef>
              <c:f>'Iu and Iv, 2 Theta Eqn'!$D$5</c:f>
              <c:numCache>
                <c:formatCode>0.000</c:formatCode>
                <c:ptCount val="1"/>
                <c:pt idx="0">
                  <c:v>5.6</c:v>
                </c:pt>
              </c:numCache>
            </c:numRef>
          </c:xVal>
          <c:yVal>
            <c:numRef>
              <c:f>'Iu and Iv, 2 Theta Eqn'!$E$5</c:f>
              <c:numCache>
                <c:formatCode>0.00</c:formatCode>
                <c:ptCount val="1"/>
                <c:pt idx="0">
                  <c:v>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CF-4589-94ED-9B4C954F4EBC}"/>
            </c:ext>
          </c:extLst>
        </c:ser>
        <c:ser>
          <c:idx val="4"/>
          <c:order val="4"/>
          <c:spPr>
            <a:ln w="38100" cap="rnd">
              <a:solidFill>
                <a:srgbClr val="FF9900"/>
              </a:solidFill>
              <a:round/>
            </a:ln>
            <a:effectLst/>
          </c:spPr>
          <c:marker>
            <c:symbol val="none"/>
          </c:marker>
          <c:xVal>
            <c:numRef>
              <c:f>'Iu and Iv, 2 Theta Eqn'!$D$4:$D$5</c:f>
              <c:numCache>
                <c:formatCode>0.000</c:formatCode>
                <c:ptCount val="2"/>
                <c:pt idx="0">
                  <c:v>2.9</c:v>
                </c:pt>
                <c:pt idx="1">
                  <c:v>5.6</c:v>
                </c:pt>
              </c:numCache>
            </c:numRef>
          </c:xVal>
          <c:yVal>
            <c:numRef>
              <c:f>'Iu and Iv, 2 Theta Eqn'!$E$4:$E$5</c:f>
              <c:numCache>
                <c:formatCode>0.00</c:formatCode>
                <c:ptCount val="2"/>
                <c:pt idx="0">
                  <c:v>-3</c:v>
                </c:pt>
                <c:pt idx="1">
                  <c:v>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CCF-4589-94ED-9B4C954F4EBC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rgbClr val="00B0F0"/>
              </a:solidFill>
              <a:ln w="25400">
                <a:solidFill>
                  <a:srgbClr val="00B0F0"/>
                </a:solidFill>
              </a:ln>
              <a:effectLst/>
            </c:spPr>
          </c:marker>
          <c:xVal>
            <c:numRef>
              <c:f>'Iu and Iv, 2 Theta Eqn'!$D$15</c:f>
              <c:numCache>
                <c:formatCode>0.000</c:formatCode>
                <c:ptCount val="1"/>
                <c:pt idx="0">
                  <c:v>5.1442028308489975</c:v>
                </c:pt>
              </c:numCache>
            </c:numRef>
          </c:xVal>
          <c:yVal>
            <c:numRef>
              <c:f>'Iu and Iv, 2 Theta Eqn'!$E$15</c:f>
              <c:numCache>
                <c:formatCode>0.000</c:formatCode>
                <c:ptCount val="1"/>
                <c:pt idx="0">
                  <c:v>-3.165896602433762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CCF-4589-94ED-9B4C954F4EBC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rgbClr val="CCFFCC"/>
              </a:solidFill>
              <a:ln w="25400">
                <a:solidFill>
                  <a:schemeClr val="tx1"/>
                </a:solidFill>
              </a:ln>
              <a:effectLst/>
            </c:spPr>
          </c:marker>
          <c:xVal>
            <c:numRef>
              <c:f>'Iu and Iv, 2 Theta Eqn'!$D$16</c:f>
              <c:numCache>
                <c:formatCode>0.000</c:formatCode>
                <c:ptCount val="1"/>
                <c:pt idx="0">
                  <c:v>3.3557971691510029</c:v>
                </c:pt>
              </c:numCache>
            </c:numRef>
          </c:xVal>
          <c:yVal>
            <c:numRef>
              <c:f>'Iu and Iv, 2 Theta Eqn'!$E$16</c:f>
              <c:numCache>
                <c:formatCode>0.000</c:formatCode>
                <c:ptCount val="1"/>
                <c:pt idx="0">
                  <c:v>3.165896602433762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CCF-4589-94ED-9B4C954F4EBC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'Iu and Iv, 2 Theta Eqn'!$D$15:$D$16</c:f>
              <c:numCache>
                <c:formatCode>0.000</c:formatCode>
                <c:ptCount val="2"/>
                <c:pt idx="0">
                  <c:v>5.1442028308489975</c:v>
                </c:pt>
                <c:pt idx="1">
                  <c:v>3.3557971691510029</c:v>
                </c:pt>
              </c:numCache>
            </c:numRef>
          </c:xVal>
          <c:yVal>
            <c:numRef>
              <c:f>'Iu and Iv, 2 Theta Eqn'!$E$15:$E$16</c:f>
              <c:numCache>
                <c:formatCode>0.000</c:formatCode>
                <c:ptCount val="2"/>
                <c:pt idx="0">
                  <c:v>-3.165896602433762</c:v>
                </c:pt>
                <c:pt idx="1">
                  <c:v>3.165896602433762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CCF-4589-94ED-9B4C954F4EBC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'Iu and Iv, 2 Theta Eqn'!$E$22</c:f>
              <c:numCache>
                <c:formatCode>0.000</c:formatCode>
                <c:ptCount val="1"/>
                <c:pt idx="0">
                  <c:v>7.5397568299191962</c:v>
                </c:pt>
              </c:numCache>
            </c:numRef>
          </c:xVal>
          <c:yVal>
            <c:numRef>
              <c:f>'Iu and Iv, 2 Theta Eqn'!$F$22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13-4363-9A97-A18D74FFCA44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'Iu and Iv, 2 Theta Eqn'!$E$23</c:f>
              <c:numCache>
                <c:formatCode>0.000</c:formatCode>
                <c:ptCount val="1"/>
                <c:pt idx="0">
                  <c:v>0.96024317008080384</c:v>
                </c:pt>
              </c:numCache>
            </c:numRef>
          </c:xVal>
          <c:yVal>
            <c:numRef>
              <c:f>'Iu and Iv, 2 Theta Eqn'!$F$23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13-4363-9A97-A18D74FFCA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2263408"/>
        <c:axId val="942258832"/>
      </c:scatterChart>
      <c:valAx>
        <c:axId val="942263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258832"/>
        <c:crosses val="autoZero"/>
        <c:crossBetween val="midCat"/>
      </c:valAx>
      <c:valAx>
        <c:axId val="94225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263408"/>
        <c:crosses val="autoZero"/>
        <c:crossBetween val="midCat"/>
      </c:valAx>
      <c:spPr>
        <a:solidFill>
          <a:srgbClr val="FFFFCC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baseline="0">
                <a:effectLst/>
              </a:rPr>
              <a:t>Iu, Iv and Iuv vs. </a:t>
            </a:r>
            <a:r>
              <a:rPr lang="en-US" sz="1600" b="1" i="0" baseline="0">
                <a:effectLst/>
                <a:latin typeface="Symbol" panose="05050102010706020507" pitchFamily="18" charset="2"/>
              </a:rPr>
              <a:t>q</a:t>
            </a:r>
            <a:endParaRPr lang="en-US" sz="1200">
              <a:effectLst/>
              <a:latin typeface="Symbol" panose="05050102010706020507" pitchFamily="18" charset="2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7441464824820828E-2"/>
          <c:y val="0.17171296296296296"/>
          <c:w val="0.86486175757348871"/>
          <c:h val="0.6714577865266842"/>
        </c:manualLayout>
      </c:layout>
      <c:scatterChart>
        <c:scatterStyle val="smoothMarker"/>
        <c:varyColors val="0"/>
        <c:ser>
          <c:idx val="0"/>
          <c:order val="0"/>
          <c:tx>
            <c:v>Iu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'Iu and Iv, 2 Theta Eqn'!$D$34:$D$106</c:f>
              <c:numCache>
                <c:formatCode>General</c:formatCod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numCache>
            </c:numRef>
          </c:xVal>
          <c:yVal>
            <c:numRef>
              <c:f>'Iu and Iv, 2 Theta Eqn'!$E$34:$E$106</c:f>
              <c:numCache>
                <c:formatCode>0.000</c:formatCode>
                <c:ptCount val="73"/>
                <c:pt idx="0">
                  <c:v>2.9000000000000004</c:v>
                </c:pt>
                <c:pt idx="1">
                  <c:v>3.4414540664343107</c:v>
                </c:pt>
                <c:pt idx="2">
                  <c:v>4.0074753919160297</c:v>
                </c:pt>
                <c:pt idx="3">
                  <c:v>4.580865704891008</c:v>
                </c:pt>
                <c:pt idx="4">
                  <c:v>5.1442028308489975</c:v>
                </c:pt>
                <c:pt idx="5">
                  <c:v>5.6803700562801058</c:v>
                </c:pt>
                <c:pt idx="6">
                  <c:v>6.1730762113533162</c:v>
                </c:pt>
                <c:pt idx="7">
                  <c:v>6.6073506688680723</c:v>
                </c:pt>
                <c:pt idx="8">
                  <c:v>6.9699982191862677</c:v>
                </c:pt>
                <c:pt idx="9">
                  <c:v>7.25</c:v>
                </c:pt>
                <c:pt idx="10">
                  <c:v>7.4388482988869793</c:v>
                </c:pt>
                <c:pt idx="11">
                  <c:v>7.5308050558473774</c:v>
                </c:pt>
                <c:pt idx="12">
                  <c:v>7.5230762113533158</c:v>
                </c:pt>
                <c:pt idx="13">
                  <c:v>7.4158966024337616</c:v>
                </c:pt>
                <c:pt idx="14">
                  <c:v>7.212522827270238</c:v>
                </c:pt>
                <c:pt idx="15">
                  <c:v>6.919134295108992</c:v>
                </c:pt>
                <c:pt idx="16">
                  <c:v>6.5446454680379826</c:v>
                </c:pt>
                <c:pt idx="17">
                  <c:v>6.1004349995672715</c:v>
                </c:pt>
                <c:pt idx="18">
                  <c:v>5.6</c:v>
                </c:pt>
                <c:pt idx="19">
                  <c:v>5.0585459335656893</c:v>
                </c:pt>
                <c:pt idx="20">
                  <c:v>4.4925246080839703</c:v>
                </c:pt>
                <c:pt idx="21">
                  <c:v>3.9191342951089916</c:v>
                </c:pt>
                <c:pt idx="22">
                  <c:v>3.3557971691510029</c:v>
                </c:pt>
                <c:pt idx="23">
                  <c:v>2.8196299437198942</c:v>
                </c:pt>
                <c:pt idx="24">
                  <c:v>2.3269237886466856</c:v>
                </c:pt>
                <c:pt idx="25">
                  <c:v>1.8926493311319272</c:v>
                </c:pt>
                <c:pt idx="26">
                  <c:v>1.5300017808137318</c:v>
                </c:pt>
                <c:pt idx="27">
                  <c:v>1.25</c:v>
                </c:pt>
                <c:pt idx="28">
                  <c:v>1.0611517011130198</c:v>
                </c:pt>
                <c:pt idx="29">
                  <c:v>0.9691949441526222</c:v>
                </c:pt>
                <c:pt idx="30">
                  <c:v>0.97692378864668417</c:v>
                </c:pt>
                <c:pt idx="31">
                  <c:v>1.0841033975662375</c:v>
                </c:pt>
                <c:pt idx="32">
                  <c:v>1.2874771727297616</c:v>
                </c:pt>
                <c:pt idx="33">
                  <c:v>1.5808657048910071</c:v>
                </c:pt>
                <c:pt idx="34">
                  <c:v>1.9553545319620178</c:v>
                </c:pt>
                <c:pt idx="35">
                  <c:v>2.3995650004327285</c:v>
                </c:pt>
                <c:pt idx="36">
                  <c:v>2.8999999999999995</c:v>
                </c:pt>
                <c:pt idx="37">
                  <c:v>3.441454066434309</c:v>
                </c:pt>
                <c:pt idx="38">
                  <c:v>4.0074753919160306</c:v>
                </c:pt>
                <c:pt idx="39">
                  <c:v>4.580865704891008</c:v>
                </c:pt>
                <c:pt idx="40">
                  <c:v>5.1442028308489967</c:v>
                </c:pt>
                <c:pt idx="41">
                  <c:v>5.6803700562801049</c:v>
                </c:pt>
                <c:pt idx="42">
                  <c:v>6.1730762113533171</c:v>
                </c:pt>
                <c:pt idx="43">
                  <c:v>6.6073506688680723</c:v>
                </c:pt>
                <c:pt idx="44">
                  <c:v>6.9699982191862677</c:v>
                </c:pt>
                <c:pt idx="45">
                  <c:v>7.25</c:v>
                </c:pt>
                <c:pt idx="46">
                  <c:v>7.4388482988869793</c:v>
                </c:pt>
                <c:pt idx="47">
                  <c:v>7.5308050558473774</c:v>
                </c:pt>
                <c:pt idx="48">
                  <c:v>7.5230762113533167</c:v>
                </c:pt>
                <c:pt idx="49">
                  <c:v>7.4158966024337616</c:v>
                </c:pt>
                <c:pt idx="50">
                  <c:v>7.212522827270238</c:v>
                </c:pt>
                <c:pt idx="51">
                  <c:v>6.9191342951089911</c:v>
                </c:pt>
                <c:pt idx="52">
                  <c:v>6.5446454680379826</c:v>
                </c:pt>
                <c:pt idx="53">
                  <c:v>6.1004349995672715</c:v>
                </c:pt>
                <c:pt idx="54">
                  <c:v>5.6000000000000005</c:v>
                </c:pt>
                <c:pt idx="55">
                  <c:v>5.0585459335656919</c:v>
                </c:pt>
                <c:pt idx="56">
                  <c:v>4.492524608083972</c:v>
                </c:pt>
                <c:pt idx="57">
                  <c:v>3.9191342951089956</c:v>
                </c:pt>
                <c:pt idx="58">
                  <c:v>3.3557971691510002</c:v>
                </c:pt>
                <c:pt idx="59">
                  <c:v>2.8196299437198933</c:v>
                </c:pt>
                <c:pt idx="60">
                  <c:v>2.3269237886466838</c:v>
                </c:pt>
                <c:pt idx="61">
                  <c:v>1.8926493311319272</c:v>
                </c:pt>
                <c:pt idx="62">
                  <c:v>1.5300017808137327</c:v>
                </c:pt>
                <c:pt idx="63">
                  <c:v>1.2500000000000009</c:v>
                </c:pt>
                <c:pt idx="64">
                  <c:v>1.0611517011130207</c:v>
                </c:pt>
                <c:pt idx="65">
                  <c:v>0.96919494415262264</c:v>
                </c:pt>
                <c:pt idx="66">
                  <c:v>0.97692378864668372</c:v>
                </c:pt>
                <c:pt idx="67">
                  <c:v>1.0841033975662384</c:v>
                </c:pt>
                <c:pt idx="68">
                  <c:v>1.2874771727297623</c:v>
                </c:pt>
                <c:pt idx="69">
                  <c:v>1.5808657048910084</c:v>
                </c:pt>
                <c:pt idx="70">
                  <c:v>1.9553545319620176</c:v>
                </c:pt>
                <c:pt idx="71">
                  <c:v>2.3995650004327276</c:v>
                </c:pt>
                <c:pt idx="72">
                  <c:v>2.899999999999999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7D-4063-B9CD-5774F2A3E0F9}"/>
            </c:ext>
          </c:extLst>
        </c:ser>
        <c:ser>
          <c:idx val="1"/>
          <c:order val="1"/>
          <c:tx>
            <c:v>Iv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'Iu and Iv, 2 Theta Eqn'!$D$34:$D$106</c:f>
              <c:numCache>
                <c:formatCode>General</c:formatCod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numCache>
            </c:numRef>
          </c:xVal>
          <c:yVal>
            <c:numRef>
              <c:f>'Iu and Iv, 2 Theta Eqn'!$F$34:$F$106</c:f>
              <c:numCache>
                <c:formatCode>0.00</c:formatCode>
                <c:ptCount val="73"/>
                <c:pt idx="0">
                  <c:v>5.6</c:v>
                </c:pt>
                <c:pt idx="1">
                  <c:v>5.0585459335656893</c:v>
                </c:pt>
                <c:pt idx="2">
                  <c:v>4.4925246080839703</c:v>
                </c:pt>
                <c:pt idx="3">
                  <c:v>3.919134295108992</c:v>
                </c:pt>
                <c:pt idx="4">
                  <c:v>3.3557971691510029</c:v>
                </c:pt>
                <c:pt idx="5">
                  <c:v>2.8196299437198937</c:v>
                </c:pt>
                <c:pt idx="6">
                  <c:v>2.3269237886466838</c:v>
                </c:pt>
                <c:pt idx="7">
                  <c:v>1.8926493311319277</c:v>
                </c:pt>
                <c:pt idx="8">
                  <c:v>1.5300017808137318</c:v>
                </c:pt>
                <c:pt idx="9">
                  <c:v>1.25</c:v>
                </c:pt>
                <c:pt idx="10">
                  <c:v>1.0611517011130203</c:v>
                </c:pt>
                <c:pt idx="11">
                  <c:v>0.9691949441526222</c:v>
                </c:pt>
                <c:pt idx="12">
                  <c:v>0.97692378864668417</c:v>
                </c:pt>
                <c:pt idx="13">
                  <c:v>1.084103397566238</c:v>
                </c:pt>
                <c:pt idx="14">
                  <c:v>1.2874771727297618</c:v>
                </c:pt>
                <c:pt idx="15">
                  <c:v>1.5808657048910082</c:v>
                </c:pt>
                <c:pt idx="16">
                  <c:v>1.9553545319620174</c:v>
                </c:pt>
                <c:pt idx="17">
                  <c:v>2.3995650004327289</c:v>
                </c:pt>
                <c:pt idx="18">
                  <c:v>2.9</c:v>
                </c:pt>
                <c:pt idx="19">
                  <c:v>3.4414540664343107</c:v>
                </c:pt>
                <c:pt idx="20">
                  <c:v>4.0074753919160297</c:v>
                </c:pt>
                <c:pt idx="21">
                  <c:v>4.5808657048910089</c:v>
                </c:pt>
                <c:pt idx="22">
                  <c:v>5.1442028308489975</c:v>
                </c:pt>
                <c:pt idx="23">
                  <c:v>5.6803700562801058</c:v>
                </c:pt>
                <c:pt idx="24">
                  <c:v>6.1730762113533144</c:v>
                </c:pt>
                <c:pt idx="25">
                  <c:v>6.6073506688680723</c:v>
                </c:pt>
                <c:pt idx="26">
                  <c:v>6.9699982191862677</c:v>
                </c:pt>
                <c:pt idx="27">
                  <c:v>7.25</c:v>
                </c:pt>
                <c:pt idx="28">
                  <c:v>7.4388482988869802</c:v>
                </c:pt>
                <c:pt idx="29">
                  <c:v>7.5308050558473782</c:v>
                </c:pt>
                <c:pt idx="30">
                  <c:v>7.5230762113533158</c:v>
                </c:pt>
                <c:pt idx="31">
                  <c:v>7.4158966024337625</c:v>
                </c:pt>
                <c:pt idx="32">
                  <c:v>7.212522827270238</c:v>
                </c:pt>
                <c:pt idx="33">
                  <c:v>6.9191342951089929</c:v>
                </c:pt>
                <c:pt idx="34">
                  <c:v>6.5446454680379826</c:v>
                </c:pt>
                <c:pt idx="35">
                  <c:v>6.1004349995672715</c:v>
                </c:pt>
                <c:pt idx="36">
                  <c:v>5.6000000000000005</c:v>
                </c:pt>
                <c:pt idx="37">
                  <c:v>5.058545933565691</c:v>
                </c:pt>
                <c:pt idx="38">
                  <c:v>4.4925246080839694</c:v>
                </c:pt>
                <c:pt idx="39">
                  <c:v>3.919134295108992</c:v>
                </c:pt>
                <c:pt idx="40">
                  <c:v>3.3557971691510033</c:v>
                </c:pt>
                <c:pt idx="41">
                  <c:v>2.8196299437198955</c:v>
                </c:pt>
                <c:pt idx="42">
                  <c:v>2.3269237886466834</c:v>
                </c:pt>
                <c:pt idx="43">
                  <c:v>1.8926493311319272</c:v>
                </c:pt>
                <c:pt idx="44">
                  <c:v>1.5300017808137318</c:v>
                </c:pt>
                <c:pt idx="45">
                  <c:v>1.25</c:v>
                </c:pt>
                <c:pt idx="46">
                  <c:v>1.0611517011130207</c:v>
                </c:pt>
                <c:pt idx="47">
                  <c:v>0.96919494415262264</c:v>
                </c:pt>
                <c:pt idx="48">
                  <c:v>0.97692378864668372</c:v>
                </c:pt>
                <c:pt idx="49">
                  <c:v>1.0841033975662384</c:v>
                </c:pt>
                <c:pt idx="50">
                  <c:v>1.2874771727297623</c:v>
                </c:pt>
                <c:pt idx="51">
                  <c:v>1.5808657048910086</c:v>
                </c:pt>
                <c:pt idx="52">
                  <c:v>1.9553545319620174</c:v>
                </c:pt>
                <c:pt idx="53">
                  <c:v>2.399565000432728</c:v>
                </c:pt>
                <c:pt idx="54">
                  <c:v>2.8999999999999995</c:v>
                </c:pt>
                <c:pt idx="55">
                  <c:v>3.4414540664343085</c:v>
                </c:pt>
                <c:pt idx="56">
                  <c:v>4.007475391916028</c:v>
                </c:pt>
                <c:pt idx="57">
                  <c:v>4.5808657048910044</c:v>
                </c:pt>
                <c:pt idx="58">
                  <c:v>5.1442028308490002</c:v>
                </c:pt>
                <c:pt idx="59">
                  <c:v>5.6803700562801067</c:v>
                </c:pt>
                <c:pt idx="60">
                  <c:v>6.1730762113533162</c:v>
                </c:pt>
                <c:pt idx="61">
                  <c:v>6.6073506688680723</c:v>
                </c:pt>
                <c:pt idx="62">
                  <c:v>6.9699982191862677</c:v>
                </c:pt>
                <c:pt idx="63">
                  <c:v>7.2499999999999991</c:v>
                </c:pt>
                <c:pt idx="64">
                  <c:v>7.4388482988869793</c:v>
                </c:pt>
                <c:pt idx="65">
                  <c:v>7.5308050558473774</c:v>
                </c:pt>
                <c:pt idx="66">
                  <c:v>7.5230762113533167</c:v>
                </c:pt>
                <c:pt idx="67">
                  <c:v>7.4158966024337616</c:v>
                </c:pt>
                <c:pt idx="68">
                  <c:v>7.212522827270238</c:v>
                </c:pt>
                <c:pt idx="69">
                  <c:v>6.9191342951089911</c:v>
                </c:pt>
                <c:pt idx="70">
                  <c:v>6.5446454680379826</c:v>
                </c:pt>
                <c:pt idx="71">
                  <c:v>6.1004349995672724</c:v>
                </c:pt>
                <c:pt idx="72">
                  <c:v>5.6000000000000014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7D-4063-B9CD-5774F2A3E0F9}"/>
            </c:ext>
          </c:extLst>
        </c:ser>
        <c:ser>
          <c:idx val="2"/>
          <c:order val="2"/>
          <c:tx>
            <c:v>Iuv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'Iu and Iv, 2 Theta Eqn'!$D$34:$D$106</c:f>
              <c:numCache>
                <c:formatCode>General</c:formatCod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numCache>
            </c:numRef>
          </c:xVal>
          <c:yVal>
            <c:numRef>
              <c:f>'Iu and Iv, 2 Theta Eqn'!$G$34:$G$106</c:f>
              <c:numCache>
                <c:formatCode>0.000</c:formatCode>
                <c:ptCount val="73"/>
                <c:pt idx="0">
                  <c:v>-3</c:v>
                </c:pt>
                <c:pt idx="1">
                  <c:v>-3.1888482988869797</c:v>
                </c:pt>
                <c:pt idx="2">
                  <c:v>-3.2808050558473782</c:v>
                </c:pt>
                <c:pt idx="3">
                  <c:v>-3.2730762113533158</c:v>
                </c:pt>
                <c:pt idx="4">
                  <c:v>-3.165896602433762</c:v>
                </c:pt>
                <c:pt idx="5">
                  <c:v>-2.9625228272702384</c:v>
                </c:pt>
                <c:pt idx="6">
                  <c:v>-2.6691342951089925</c:v>
                </c:pt>
                <c:pt idx="7">
                  <c:v>-2.2946454680379826</c:v>
                </c:pt>
                <c:pt idx="8">
                  <c:v>-1.850434999567272</c:v>
                </c:pt>
                <c:pt idx="9">
                  <c:v>-1.35</c:v>
                </c:pt>
                <c:pt idx="10">
                  <c:v>-0.80854593356568971</c:v>
                </c:pt>
                <c:pt idx="11">
                  <c:v>-0.24252460808397003</c:v>
                </c:pt>
                <c:pt idx="12">
                  <c:v>0.33086570489100708</c:v>
                </c:pt>
                <c:pt idx="13">
                  <c:v>0.89420283084899799</c:v>
                </c:pt>
                <c:pt idx="14">
                  <c:v>1.4303700562801054</c:v>
                </c:pt>
                <c:pt idx="15">
                  <c:v>1.9230762113533162</c:v>
                </c:pt>
                <c:pt idx="16">
                  <c:v>2.3573506688680719</c:v>
                </c:pt>
                <c:pt idx="17">
                  <c:v>2.7199982191862682</c:v>
                </c:pt>
                <c:pt idx="18">
                  <c:v>3</c:v>
                </c:pt>
                <c:pt idx="19">
                  <c:v>3.1888482988869802</c:v>
                </c:pt>
                <c:pt idx="20">
                  <c:v>3.2808050558473778</c:v>
                </c:pt>
                <c:pt idx="21">
                  <c:v>3.2730762113533158</c:v>
                </c:pt>
                <c:pt idx="22">
                  <c:v>3.165896602433762</c:v>
                </c:pt>
                <c:pt idx="23">
                  <c:v>2.9625228272702384</c:v>
                </c:pt>
                <c:pt idx="24">
                  <c:v>2.6691342951089929</c:v>
                </c:pt>
                <c:pt idx="25">
                  <c:v>2.2946454680379818</c:v>
                </c:pt>
                <c:pt idx="26">
                  <c:v>1.8504349995672715</c:v>
                </c:pt>
                <c:pt idx="27">
                  <c:v>1.3500000000000003</c:v>
                </c:pt>
                <c:pt idx="28">
                  <c:v>0.80854593356569093</c:v>
                </c:pt>
                <c:pt idx="29">
                  <c:v>0.24252460808396892</c:v>
                </c:pt>
                <c:pt idx="30">
                  <c:v>-0.33086570489100842</c:v>
                </c:pt>
                <c:pt idx="31">
                  <c:v>-0.89420283084899732</c:v>
                </c:pt>
                <c:pt idx="32">
                  <c:v>-1.4303700562801049</c:v>
                </c:pt>
                <c:pt idx="33">
                  <c:v>-1.9230762113533146</c:v>
                </c:pt>
                <c:pt idx="34">
                  <c:v>-2.3573506688680728</c:v>
                </c:pt>
                <c:pt idx="35">
                  <c:v>-2.7199982191862677</c:v>
                </c:pt>
                <c:pt idx="36">
                  <c:v>-2.9999999999999996</c:v>
                </c:pt>
                <c:pt idx="37">
                  <c:v>-3.1888482988869797</c:v>
                </c:pt>
                <c:pt idx="38">
                  <c:v>-3.2808050558473778</c:v>
                </c:pt>
                <c:pt idx="39">
                  <c:v>-3.2730762113533158</c:v>
                </c:pt>
                <c:pt idx="40">
                  <c:v>-3.1658966024337625</c:v>
                </c:pt>
                <c:pt idx="41">
                  <c:v>-2.9625228272702389</c:v>
                </c:pt>
                <c:pt idx="42">
                  <c:v>-2.6691342951089911</c:v>
                </c:pt>
                <c:pt idx="43">
                  <c:v>-2.2946454680379822</c:v>
                </c:pt>
                <c:pt idx="44">
                  <c:v>-1.850434999567272</c:v>
                </c:pt>
                <c:pt idx="45">
                  <c:v>-1.3500000000000008</c:v>
                </c:pt>
                <c:pt idx="46">
                  <c:v>-0.80854593356569127</c:v>
                </c:pt>
                <c:pt idx="47">
                  <c:v>-0.24252460808397225</c:v>
                </c:pt>
                <c:pt idx="48">
                  <c:v>0.33086570489100509</c:v>
                </c:pt>
                <c:pt idx="49">
                  <c:v>0.89420283084899999</c:v>
                </c:pt>
                <c:pt idx="50">
                  <c:v>1.4303700562801074</c:v>
                </c:pt>
                <c:pt idx="51">
                  <c:v>1.9230762113533169</c:v>
                </c:pt>
                <c:pt idx="52">
                  <c:v>2.3573506688680723</c:v>
                </c:pt>
                <c:pt idx="53">
                  <c:v>2.7199982191862677</c:v>
                </c:pt>
                <c:pt idx="54">
                  <c:v>2.9999999999999996</c:v>
                </c:pt>
                <c:pt idx="55">
                  <c:v>3.1888482988869797</c:v>
                </c:pt>
                <c:pt idx="56">
                  <c:v>3.2808050558473774</c:v>
                </c:pt>
                <c:pt idx="57">
                  <c:v>3.2730762113533163</c:v>
                </c:pt>
                <c:pt idx="58">
                  <c:v>3.1658966024337616</c:v>
                </c:pt>
                <c:pt idx="59">
                  <c:v>2.9625228272702375</c:v>
                </c:pt>
                <c:pt idx="60">
                  <c:v>2.669134295108992</c:v>
                </c:pt>
                <c:pt idx="61">
                  <c:v>2.2946454680379826</c:v>
                </c:pt>
                <c:pt idx="62">
                  <c:v>1.8504349995672724</c:v>
                </c:pt>
                <c:pt idx="63">
                  <c:v>1.3500000000000012</c:v>
                </c:pt>
                <c:pt idx="64">
                  <c:v>0.80854593356569171</c:v>
                </c:pt>
                <c:pt idx="65">
                  <c:v>0.24252460808397269</c:v>
                </c:pt>
                <c:pt idx="66">
                  <c:v>-0.33086570489100464</c:v>
                </c:pt>
                <c:pt idx="67">
                  <c:v>-0.89420283084899932</c:v>
                </c:pt>
                <c:pt idx="68">
                  <c:v>-1.4303700562801069</c:v>
                </c:pt>
                <c:pt idx="69">
                  <c:v>-1.9230762113533162</c:v>
                </c:pt>
                <c:pt idx="70">
                  <c:v>-2.3573506688680719</c:v>
                </c:pt>
                <c:pt idx="71">
                  <c:v>-2.7199982191862677</c:v>
                </c:pt>
                <c:pt idx="72">
                  <c:v>-2.9999999999999996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7D-4063-B9CD-5774F2A3E0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475599"/>
        <c:axId val="769473103"/>
      </c:scatterChart>
      <c:valAx>
        <c:axId val="769475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473103"/>
        <c:crosses val="autoZero"/>
        <c:crossBetween val="midCat"/>
      </c:valAx>
      <c:valAx>
        <c:axId val="76947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475599"/>
        <c:crosses val="autoZero"/>
        <c:crossBetween val="midCat"/>
      </c:valAx>
      <c:spPr>
        <a:solidFill>
          <a:srgbClr val="FFFFCC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0299364817622585"/>
          <c:y val="0.88475239009382511"/>
          <c:w val="0.17804065515163017"/>
          <c:h val="5.75221282659806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tx1"/>
                </a:solidFill>
              </a:rPr>
              <a:t>Mohr's Circle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6592196451271"/>
          <c:y val="9.0206158717759943E-2"/>
          <c:w val="0.83449540381536247"/>
          <c:h val="0.83664266030605128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Animation!$K$27:$K$99</c:f>
              <c:numCache>
                <c:formatCode>0.000</c:formatCode>
                <c:ptCount val="73"/>
                <c:pt idx="0">
                  <c:v>6.2360679774997898</c:v>
                </c:pt>
                <c:pt idx="1">
                  <c:v>6.2275590637580232</c:v>
                </c:pt>
                <c:pt idx="2">
                  <c:v>6.2020970805041209</c:v>
                </c:pt>
                <c:pt idx="3">
                  <c:v>6.1598758088050101</c:v>
                </c:pt>
                <c:pt idx="4">
                  <c:v>6.1012165780322238</c:v>
                </c:pt>
                <c:pt idx="5">
                  <c:v>6.0265658203513519</c:v>
                </c:pt>
                <c:pt idx="6">
                  <c:v>5.936491673103709</c:v>
                </c:pt>
                <c:pt idx="7">
                  <c:v>5.831679654938104</c:v>
                </c:pt>
                <c:pt idx="8">
                  <c:v>5.7129274486000057</c:v>
                </c:pt>
                <c:pt idx="9">
                  <c:v>5.58113883008419</c:v>
                </c:pt>
                <c:pt idx="10">
                  <c:v>5.4373167903537043</c:v>
                </c:pt>
                <c:pt idx="11">
                  <c:v>5.2825559019730211</c:v>
                </c:pt>
                <c:pt idx="12">
                  <c:v>5.1180339887498949</c:v>
                </c:pt>
                <c:pt idx="13">
                  <c:v>4.945003161785003</c:v>
                </c:pt>
                <c:pt idx="14">
                  <c:v>4.7647802901504166</c:v>
                </c:pt>
                <c:pt idx="15">
                  <c:v>4.5787369787208201</c:v>
                </c:pt>
                <c:pt idx="16">
                  <c:v>4.3882891294322173</c:v>
                </c:pt>
                <c:pt idx="17">
                  <c:v>4.1948861654132479</c:v>
                </c:pt>
                <c:pt idx="18">
                  <c:v>4</c:v>
                </c:pt>
                <c:pt idx="19">
                  <c:v>3.8051138345867517</c:v>
                </c:pt>
                <c:pt idx="20">
                  <c:v>3.6117108705677832</c:v>
                </c:pt>
                <c:pt idx="21">
                  <c:v>3.4212630212791795</c:v>
                </c:pt>
                <c:pt idx="22">
                  <c:v>3.2352197098495838</c:v>
                </c:pt>
                <c:pt idx="23">
                  <c:v>3.0549968382149979</c:v>
                </c:pt>
                <c:pt idx="24">
                  <c:v>2.8819660112501055</c:v>
                </c:pt>
                <c:pt idx="25">
                  <c:v>2.7174440980269794</c:v>
                </c:pt>
                <c:pt idx="26">
                  <c:v>2.5626832096462957</c:v>
                </c:pt>
                <c:pt idx="27">
                  <c:v>2.4188611699158105</c:v>
                </c:pt>
                <c:pt idx="28">
                  <c:v>2.2870725513999943</c:v>
                </c:pt>
                <c:pt idx="29">
                  <c:v>2.1683203450618955</c:v>
                </c:pt>
                <c:pt idx="30">
                  <c:v>2.063508326896291</c:v>
                </c:pt>
                <c:pt idx="31">
                  <c:v>1.9734341796486481</c:v>
                </c:pt>
                <c:pt idx="32">
                  <c:v>1.8987834219677771</c:v>
                </c:pt>
                <c:pt idx="33">
                  <c:v>1.8401241911949899</c:v>
                </c:pt>
                <c:pt idx="34">
                  <c:v>1.7979029194958795</c:v>
                </c:pt>
                <c:pt idx="35">
                  <c:v>1.7724409362419768</c:v>
                </c:pt>
                <c:pt idx="36">
                  <c:v>1.7639320225002102</c:v>
                </c:pt>
                <c:pt idx="37">
                  <c:v>1.7724409362419768</c:v>
                </c:pt>
                <c:pt idx="38">
                  <c:v>1.7979029194958795</c:v>
                </c:pt>
                <c:pt idx="39">
                  <c:v>1.8401241911949899</c:v>
                </c:pt>
                <c:pt idx="40">
                  <c:v>1.8987834219677766</c:v>
                </c:pt>
                <c:pt idx="41">
                  <c:v>1.9734341796486476</c:v>
                </c:pt>
                <c:pt idx="42">
                  <c:v>2.0635083268962915</c:v>
                </c:pt>
                <c:pt idx="43">
                  <c:v>2.168320345061896</c:v>
                </c:pt>
                <c:pt idx="44">
                  <c:v>2.2870725513999943</c:v>
                </c:pt>
                <c:pt idx="45">
                  <c:v>2.41886116991581</c:v>
                </c:pt>
                <c:pt idx="46">
                  <c:v>2.5626832096462957</c:v>
                </c:pt>
                <c:pt idx="47">
                  <c:v>2.7174440980269789</c:v>
                </c:pt>
                <c:pt idx="48">
                  <c:v>2.8819660112501042</c:v>
                </c:pt>
                <c:pt idx="49">
                  <c:v>3.0549968382149979</c:v>
                </c:pt>
                <c:pt idx="50">
                  <c:v>3.2352197098495843</c:v>
                </c:pt>
                <c:pt idx="51">
                  <c:v>3.4212630212791799</c:v>
                </c:pt>
                <c:pt idx="52">
                  <c:v>3.6117108705677827</c:v>
                </c:pt>
                <c:pt idx="53">
                  <c:v>3.8051138345867517</c:v>
                </c:pt>
                <c:pt idx="54">
                  <c:v>3.9999999999999996</c:v>
                </c:pt>
                <c:pt idx="55">
                  <c:v>4.194886165413247</c:v>
                </c:pt>
                <c:pt idx="56">
                  <c:v>4.3882891294322164</c:v>
                </c:pt>
                <c:pt idx="57">
                  <c:v>4.5787369787208192</c:v>
                </c:pt>
                <c:pt idx="58">
                  <c:v>4.7647802901504166</c:v>
                </c:pt>
                <c:pt idx="59">
                  <c:v>4.945003161785003</c:v>
                </c:pt>
                <c:pt idx="60">
                  <c:v>5.1180339887498949</c:v>
                </c:pt>
                <c:pt idx="61">
                  <c:v>5.2825559019730202</c:v>
                </c:pt>
                <c:pt idx="62">
                  <c:v>5.4373167903537043</c:v>
                </c:pt>
                <c:pt idx="63">
                  <c:v>5.5811388300841891</c:v>
                </c:pt>
                <c:pt idx="64">
                  <c:v>5.7129274486000057</c:v>
                </c:pt>
                <c:pt idx="65">
                  <c:v>5.8316796549381031</c:v>
                </c:pt>
                <c:pt idx="66">
                  <c:v>5.9364916731037081</c:v>
                </c:pt>
                <c:pt idx="67">
                  <c:v>6.0265658203513528</c:v>
                </c:pt>
                <c:pt idx="68">
                  <c:v>6.1012165780322238</c:v>
                </c:pt>
                <c:pt idx="69">
                  <c:v>6.1598758088050101</c:v>
                </c:pt>
                <c:pt idx="70">
                  <c:v>6.2020970805041209</c:v>
                </c:pt>
                <c:pt idx="71">
                  <c:v>6.2275590637580232</c:v>
                </c:pt>
                <c:pt idx="72">
                  <c:v>6.2360679774997898</c:v>
                </c:pt>
              </c:numCache>
            </c:numRef>
          </c:xVal>
          <c:yVal>
            <c:numRef>
              <c:f>Animation!$L$27:$L$99</c:f>
              <c:numCache>
                <c:formatCode>0.000</c:formatCode>
                <c:ptCount val="73"/>
                <c:pt idx="0">
                  <c:v>0</c:v>
                </c:pt>
                <c:pt idx="1">
                  <c:v>0.19488616541324796</c:v>
                </c:pt>
                <c:pt idx="2">
                  <c:v>0.38828912943221705</c:v>
                </c:pt>
                <c:pt idx="3">
                  <c:v>0.57873697872082042</c:v>
                </c:pt>
                <c:pt idx="4">
                  <c:v>0.76478029015041626</c:v>
                </c:pt>
                <c:pt idx="5">
                  <c:v>0.94500316178500254</c:v>
                </c:pt>
                <c:pt idx="6">
                  <c:v>1.1180339887498947</c:v>
                </c:pt>
                <c:pt idx="7">
                  <c:v>1.2825559019730204</c:v>
                </c:pt>
                <c:pt idx="8">
                  <c:v>1.4373167903537041</c:v>
                </c:pt>
                <c:pt idx="9">
                  <c:v>1.5811388300841895</c:v>
                </c:pt>
                <c:pt idx="10">
                  <c:v>1.7129274486000059</c:v>
                </c:pt>
                <c:pt idx="11">
                  <c:v>1.831679654938104</c:v>
                </c:pt>
                <c:pt idx="12">
                  <c:v>1.9364916731037085</c:v>
                </c:pt>
                <c:pt idx="13">
                  <c:v>2.0265658203513519</c:v>
                </c:pt>
                <c:pt idx="14">
                  <c:v>2.1012165780322229</c:v>
                </c:pt>
                <c:pt idx="15">
                  <c:v>2.1598758088050101</c:v>
                </c:pt>
                <c:pt idx="16">
                  <c:v>2.2020970805041205</c:v>
                </c:pt>
                <c:pt idx="17">
                  <c:v>2.2275590637580232</c:v>
                </c:pt>
                <c:pt idx="18">
                  <c:v>2.2360679774997898</c:v>
                </c:pt>
                <c:pt idx="19">
                  <c:v>2.2275590637580232</c:v>
                </c:pt>
                <c:pt idx="20">
                  <c:v>2.2020970805041205</c:v>
                </c:pt>
                <c:pt idx="21">
                  <c:v>2.1598758088050101</c:v>
                </c:pt>
                <c:pt idx="22">
                  <c:v>2.1012165780322234</c:v>
                </c:pt>
                <c:pt idx="23">
                  <c:v>2.0265658203513524</c:v>
                </c:pt>
                <c:pt idx="24">
                  <c:v>1.9364916731037087</c:v>
                </c:pt>
                <c:pt idx="25">
                  <c:v>1.8316796549381038</c:v>
                </c:pt>
                <c:pt idx="26">
                  <c:v>1.7129274486000059</c:v>
                </c:pt>
                <c:pt idx="27">
                  <c:v>1.5811388300841898</c:v>
                </c:pt>
                <c:pt idx="28">
                  <c:v>1.4373167903537045</c:v>
                </c:pt>
                <c:pt idx="29">
                  <c:v>1.2825559019730202</c:v>
                </c:pt>
                <c:pt idx="30">
                  <c:v>1.1180339887498947</c:v>
                </c:pt>
                <c:pt idx="31">
                  <c:v>0.94500316178500277</c:v>
                </c:pt>
                <c:pt idx="32">
                  <c:v>0.7647802901504166</c:v>
                </c:pt>
                <c:pt idx="33">
                  <c:v>0.57873697872082108</c:v>
                </c:pt>
                <c:pt idx="34">
                  <c:v>0.38828912943221694</c:v>
                </c:pt>
                <c:pt idx="35">
                  <c:v>0.19488616541324802</c:v>
                </c:pt>
                <c:pt idx="36">
                  <c:v>2.7395152277045102E-16</c:v>
                </c:pt>
                <c:pt idx="37">
                  <c:v>-0.19488616541324746</c:v>
                </c:pt>
                <c:pt idx="38">
                  <c:v>-0.38828912943221738</c:v>
                </c:pt>
                <c:pt idx="39">
                  <c:v>-0.57873697872082053</c:v>
                </c:pt>
                <c:pt idx="40">
                  <c:v>-0.76478029015041615</c:v>
                </c:pt>
                <c:pt idx="41">
                  <c:v>-0.94500316178500221</c:v>
                </c:pt>
                <c:pt idx="42">
                  <c:v>-1.1180339887498951</c:v>
                </c:pt>
                <c:pt idx="43">
                  <c:v>-1.2825559019730206</c:v>
                </c:pt>
                <c:pt idx="44">
                  <c:v>-1.4373167903537041</c:v>
                </c:pt>
                <c:pt idx="45">
                  <c:v>-1.5811388300841895</c:v>
                </c:pt>
                <c:pt idx="46">
                  <c:v>-1.7129274486000057</c:v>
                </c:pt>
                <c:pt idx="47">
                  <c:v>-1.8316796549381036</c:v>
                </c:pt>
                <c:pt idx="48">
                  <c:v>-1.9364916731037078</c:v>
                </c:pt>
                <c:pt idx="49">
                  <c:v>-2.0265658203513524</c:v>
                </c:pt>
                <c:pt idx="50">
                  <c:v>-2.1012165780322234</c:v>
                </c:pt>
                <c:pt idx="51">
                  <c:v>-2.1598758088050101</c:v>
                </c:pt>
                <c:pt idx="52">
                  <c:v>-2.2020970805041205</c:v>
                </c:pt>
                <c:pt idx="53">
                  <c:v>-2.2275590637580232</c:v>
                </c:pt>
                <c:pt idx="54">
                  <c:v>-2.2360679774997898</c:v>
                </c:pt>
                <c:pt idx="55">
                  <c:v>-2.2275590637580232</c:v>
                </c:pt>
                <c:pt idx="56">
                  <c:v>-2.2020970805041209</c:v>
                </c:pt>
                <c:pt idx="57">
                  <c:v>-2.1598758088050105</c:v>
                </c:pt>
                <c:pt idx="58">
                  <c:v>-2.1012165780322229</c:v>
                </c:pt>
                <c:pt idx="59">
                  <c:v>-2.0265658203513519</c:v>
                </c:pt>
                <c:pt idx="60">
                  <c:v>-1.9364916731037085</c:v>
                </c:pt>
                <c:pt idx="61">
                  <c:v>-1.831679654938104</c:v>
                </c:pt>
                <c:pt idx="62">
                  <c:v>-1.7129274486000061</c:v>
                </c:pt>
                <c:pt idx="63">
                  <c:v>-1.5811388300841902</c:v>
                </c:pt>
                <c:pt idx="64">
                  <c:v>-1.437316790353705</c:v>
                </c:pt>
                <c:pt idx="65">
                  <c:v>-1.2825559019730215</c:v>
                </c:pt>
                <c:pt idx="66">
                  <c:v>-1.1180339887498958</c:v>
                </c:pt>
                <c:pt idx="67">
                  <c:v>-0.9450031617850021</c:v>
                </c:pt>
                <c:pt idx="68">
                  <c:v>-0.76478029015041604</c:v>
                </c:pt>
                <c:pt idx="69">
                  <c:v>-0.57873697872082031</c:v>
                </c:pt>
                <c:pt idx="70">
                  <c:v>-0.38828912943221722</c:v>
                </c:pt>
                <c:pt idx="71">
                  <c:v>-0.1948861654132483</c:v>
                </c:pt>
                <c:pt idx="72">
                  <c:v>-5.4790304554090204E-16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35-403A-9812-C16906C0FF9A}"/>
            </c:ext>
          </c:extLst>
        </c:ser>
        <c:ser>
          <c:idx val="1"/>
          <c:order val="1"/>
          <c:spPr>
            <a:ln w="508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Animation!$F$19</c:f>
              <c:numCache>
                <c:formatCode>0.000</c:formatCode>
                <c:ptCount val="1"/>
                <c:pt idx="0">
                  <c:v>4</c:v>
                </c:pt>
              </c:numCache>
            </c:numRef>
          </c:xVal>
          <c:yVal>
            <c:numRef>
              <c:f>Animation!$G$19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35-403A-9812-C16906C0FF9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rgbClr val="0000FF"/>
              </a:solidFill>
              <a:ln w="25400">
                <a:solidFill>
                  <a:srgbClr val="0000FF"/>
                </a:solidFill>
              </a:ln>
              <a:effectLst/>
            </c:spPr>
          </c:marker>
          <c:xVal>
            <c:numRef>
              <c:f>Animation!$D$4</c:f>
              <c:numCache>
                <c:formatCode>0.00</c:formatCode>
                <c:ptCount val="1"/>
                <c:pt idx="0">
                  <c:v>3</c:v>
                </c:pt>
              </c:numCache>
            </c:numRef>
          </c:xVal>
          <c:yVal>
            <c:numRef>
              <c:f>Animation!$E$4</c:f>
              <c:numCache>
                <c:formatCode>0.00</c:formatCode>
                <c:ptCount val="1"/>
                <c:pt idx="0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35-403A-9812-C16906C0FF9A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rgbClr val="00CC00"/>
              </a:solidFill>
              <a:ln w="25400">
                <a:solidFill>
                  <a:srgbClr val="00CC00"/>
                </a:solidFill>
              </a:ln>
              <a:effectLst/>
            </c:spPr>
          </c:marker>
          <c:xVal>
            <c:numRef>
              <c:f>Animation!$D$5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Animation!$E$5</c:f>
              <c:numCache>
                <c:formatCode>0.00</c:formatCode>
                <c:ptCount val="1"/>
                <c:pt idx="0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D35-403A-9812-C16906C0FF9A}"/>
            </c:ext>
          </c:extLst>
        </c:ser>
        <c:ser>
          <c:idx val="4"/>
          <c:order val="4"/>
          <c:spPr>
            <a:ln w="38100" cap="rnd">
              <a:solidFill>
                <a:srgbClr val="FF9900"/>
              </a:solidFill>
              <a:round/>
            </a:ln>
            <a:effectLst/>
          </c:spPr>
          <c:marker>
            <c:symbol val="none"/>
          </c:marker>
          <c:xVal>
            <c:numRef>
              <c:f>Animation!$D$4:$D$5</c:f>
              <c:numCache>
                <c:formatCode>0.00</c:formatCode>
                <c:ptCount val="2"/>
                <c:pt idx="0">
                  <c:v>3</c:v>
                </c:pt>
                <c:pt idx="1">
                  <c:v>5</c:v>
                </c:pt>
              </c:numCache>
            </c:numRef>
          </c:xVal>
          <c:yVal>
            <c:numRef>
              <c:f>Animation!$E$4:$E$5</c:f>
              <c:numCache>
                <c:formatCode>0.00</c:formatCode>
                <c:ptCount val="2"/>
                <c:pt idx="0">
                  <c:v>2</c:v>
                </c:pt>
                <c:pt idx="1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D35-403A-9812-C16906C0FF9A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rgbClr val="00B0F0"/>
              </a:solidFill>
              <a:ln w="25400">
                <a:solidFill>
                  <a:srgbClr val="00B0F0"/>
                </a:solidFill>
              </a:ln>
              <a:effectLst/>
            </c:spPr>
          </c:marker>
          <c:xVal>
            <c:numRef>
              <c:f>Animation!$D$15</c:f>
              <c:numCache>
                <c:formatCode>0.00</c:formatCode>
                <c:ptCount val="1"/>
                <c:pt idx="0">
                  <c:v>2.2040326716425138</c:v>
                </c:pt>
              </c:numCache>
            </c:numRef>
          </c:xVal>
          <c:yVal>
            <c:numRef>
              <c:f>Animation!$E$15</c:f>
              <c:numCache>
                <c:formatCode>0.00</c:formatCode>
                <c:ptCount val="1"/>
                <c:pt idx="0">
                  <c:v>-1.3321041083460687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D35-403A-9812-C16906C0FF9A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rgbClr val="CCFFCC"/>
              </a:solidFill>
              <a:ln w="25400">
                <a:solidFill>
                  <a:schemeClr val="tx1"/>
                </a:solidFill>
              </a:ln>
              <a:effectLst/>
            </c:spPr>
          </c:marker>
          <c:xVal>
            <c:numRef>
              <c:f>Animation!$D$16</c:f>
              <c:numCache>
                <c:formatCode>0.00</c:formatCode>
                <c:ptCount val="1"/>
                <c:pt idx="0">
                  <c:v>5.7959673283574862</c:v>
                </c:pt>
              </c:numCache>
            </c:numRef>
          </c:xVal>
          <c:yVal>
            <c:numRef>
              <c:f>Animation!$E$16</c:f>
              <c:numCache>
                <c:formatCode>0.00</c:formatCode>
                <c:ptCount val="1"/>
                <c:pt idx="0">
                  <c:v>1.3321041083460687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D35-403A-9812-C16906C0FF9A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Animation!$D$15:$D$16</c:f>
              <c:numCache>
                <c:formatCode>0.00</c:formatCode>
                <c:ptCount val="2"/>
                <c:pt idx="0">
                  <c:v>2.2040326716425138</c:v>
                </c:pt>
                <c:pt idx="1">
                  <c:v>5.7959673283574862</c:v>
                </c:pt>
              </c:numCache>
            </c:numRef>
          </c:xVal>
          <c:yVal>
            <c:numRef>
              <c:f>Animation!$E$15:$E$16</c:f>
              <c:numCache>
                <c:formatCode>0.00</c:formatCode>
                <c:ptCount val="2"/>
                <c:pt idx="0">
                  <c:v>-1.3321041083460687</c:v>
                </c:pt>
                <c:pt idx="1">
                  <c:v>1.3321041083460687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D35-403A-9812-C16906C0F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2263408"/>
        <c:axId val="942258832"/>
      </c:scatterChart>
      <c:valAx>
        <c:axId val="942263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258832"/>
        <c:crosses val="autoZero"/>
        <c:crossBetween val="midCat"/>
      </c:valAx>
      <c:valAx>
        <c:axId val="94225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263408"/>
        <c:crosses val="autoZero"/>
        <c:crossBetween val="midCat"/>
      </c:valAx>
      <c:spPr>
        <a:solidFill>
          <a:srgbClr val="FFFFCC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393246</xdr:colOff>
      <xdr:row>11</xdr:row>
      <xdr:rowOff>59873</xdr:rowOff>
    </xdr:from>
    <xdr:to>
      <xdr:col>22</xdr:col>
      <xdr:colOff>261408</xdr:colOff>
      <xdr:row>38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261258</xdr:colOff>
      <xdr:row>4</xdr:row>
      <xdr:rowOff>54428</xdr:rowOff>
    </xdr:from>
    <xdr:to>
      <xdr:col>9</xdr:col>
      <xdr:colOff>446315</xdr:colOff>
      <xdr:row>4</xdr:row>
      <xdr:rowOff>239485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41772" y="827314"/>
          <a:ext cx="185057" cy="185057"/>
        </a:xfrm>
        <a:prstGeom prst="ellipse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250371</xdr:colOff>
      <xdr:row>3</xdr:row>
      <xdr:rowOff>32658</xdr:rowOff>
    </xdr:from>
    <xdr:to>
      <xdr:col>9</xdr:col>
      <xdr:colOff>435428</xdr:colOff>
      <xdr:row>3</xdr:row>
      <xdr:rowOff>217715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630885" y="533401"/>
          <a:ext cx="185057" cy="18505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272143</xdr:colOff>
      <xdr:row>5</xdr:row>
      <xdr:rowOff>43541</xdr:rowOff>
    </xdr:from>
    <xdr:to>
      <xdr:col>9</xdr:col>
      <xdr:colOff>457200</xdr:colOff>
      <xdr:row>5</xdr:row>
      <xdr:rowOff>228598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652657" y="1088570"/>
          <a:ext cx="185057" cy="185057"/>
        </a:xfrm>
        <a:prstGeom prst="ellipse">
          <a:avLst/>
        </a:prstGeom>
        <a:solidFill>
          <a:srgbClr val="00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266700</xdr:colOff>
      <xdr:row>7</xdr:row>
      <xdr:rowOff>47625</xdr:rowOff>
    </xdr:from>
    <xdr:to>
      <xdr:col>9</xdr:col>
      <xdr:colOff>451757</xdr:colOff>
      <xdr:row>7</xdr:row>
      <xdr:rowOff>232682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629400" y="1685925"/>
          <a:ext cx="185057" cy="185057"/>
        </a:xfrm>
        <a:prstGeom prst="ellipse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276225</xdr:colOff>
      <xdr:row>8</xdr:row>
      <xdr:rowOff>38100</xdr:rowOff>
    </xdr:from>
    <xdr:to>
      <xdr:col>9</xdr:col>
      <xdr:colOff>461282</xdr:colOff>
      <xdr:row>8</xdr:row>
      <xdr:rowOff>223157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638925" y="1971675"/>
          <a:ext cx="185057" cy="185057"/>
        </a:xfrm>
        <a:prstGeom prst="ellipse">
          <a:avLst/>
        </a:prstGeom>
        <a:solidFill>
          <a:srgbClr val="CCFFC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13</xdr:col>
      <xdr:colOff>455468</xdr:colOff>
      <xdr:row>3</xdr:row>
      <xdr:rowOff>7358</xdr:rowOff>
    </xdr:from>
    <xdr:ext cx="2735407" cy="4688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10266218" y="655058"/>
              <a:ext cx="2735407" cy="468892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</m:e>
                      <m: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𝑢</m:t>
                        </m:r>
                      </m:sub>
                    </m:sSub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</m:sub>
                        </m:s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sub>
                        </m:sSub>
                      </m:num>
                      <m:den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f>
                      <m:f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</m:sub>
                        </m:s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sub>
                        </m:sSub>
                      </m:num>
                      <m:den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𝑐𝑜𝑠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2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𝜃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</m:e>
                      <m: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𝑥𝑦</m:t>
                        </m:r>
                      </m:sub>
                    </m:sSub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𝑠𝑖𝑛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2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𝜃</m:t>
                    </m:r>
                  </m:oMath>
                </m:oMathPara>
              </a14:m>
              <a:endParaRPr lang="en-US" sz="12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F0C49C28-2102-4DA0-9038-8E158E81BF46}"/>
                </a:ext>
              </a:extLst>
            </xdr:cNvPr>
            <xdr:cNvSpPr txBox="1"/>
          </xdr:nvSpPr>
          <xdr:spPr>
            <a:xfrm>
              <a:off x="10266218" y="655058"/>
              <a:ext cx="2735407" cy="468892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𝐼_𝑢=(𝐼_𝑥+𝐼_𝑦)/2+(𝐼_𝑥−𝐼_𝑦)/2 𝑐𝑜𝑠2𝜃−𝐼_𝑥𝑦 𝑠𝑖𝑛2𝜃</a:t>
              </a:r>
              <a:endParaRPr lang="en-US" sz="1200"/>
            </a:p>
          </xdr:txBody>
        </xdr:sp>
      </mc:Fallback>
    </mc:AlternateContent>
    <xdr:clientData/>
  </xdr:oneCellAnchor>
  <xdr:oneCellAnchor>
    <xdr:from>
      <xdr:col>13</xdr:col>
      <xdr:colOff>457199</xdr:colOff>
      <xdr:row>5</xdr:row>
      <xdr:rowOff>41564</xdr:rowOff>
    </xdr:from>
    <xdr:ext cx="2760133" cy="4071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9736666" y="1099897"/>
              <a:ext cx="2760133" cy="407170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</m:e>
                      <m: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𝑣</m:t>
                        </m:r>
                      </m:sub>
                    </m:sSub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</m:sub>
                        </m:s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sub>
                        </m:sSub>
                      </m:num>
                      <m:den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f>
                      <m:f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</m:sub>
                        </m:s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sub>
                        </m:sSub>
                      </m:num>
                      <m:den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𝑐𝑜𝑠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2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𝜃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</m:e>
                      <m: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𝑥𝑦</m:t>
                        </m:r>
                      </m:sub>
                    </m:sSub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𝑠𝑖𝑛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2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𝜃</m:t>
                    </m:r>
                  </m:oMath>
                </m:oMathPara>
              </a14:m>
              <a:endParaRPr lang="en-US" sz="12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80434C54-BF7A-48EB-8216-193467D0EA88}"/>
                </a:ext>
              </a:extLst>
            </xdr:cNvPr>
            <xdr:cNvSpPr txBox="1"/>
          </xdr:nvSpPr>
          <xdr:spPr>
            <a:xfrm>
              <a:off x="9736666" y="1099897"/>
              <a:ext cx="2760133" cy="407170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𝐼_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=(𝐼_𝑥+𝐼_𝑦)/2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(𝐼_𝑥−𝐼_𝑦)/2 𝑐𝑜𝑠2𝜃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𝐼_𝑥𝑦 𝑠𝑖𝑛2𝜃</a:t>
              </a:r>
              <a:endParaRPr lang="en-US" sz="1200"/>
            </a:p>
          </xdr:txBody>
        </xdr:sp>
      </mc:Fallback>
    </mc:AlternateContent>
    <xdr:clientData/>
  </xdr:oneCellAnchor>
  <xdr:oneCellAnchor>
    <xdr:from>
      <xdr:col>13</xdr:col>
      <xdr:colOff>454601</xdr:colOff>
      <xdr:row>7</xdr:row>
      <xdr:rowOff>127288</xdr:rowOff>
    </xdr:from>
    <xdr:ext cx="2406074" cy="432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 txBox="1"/>
          </xdr:nvSpPr>
          <xdr:spPr>
            <a:xfrm>
              <a:off x="9836726" y="1794163"/>
              <a:ext cx="2406074" cy="432570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</m:e>
                      <m: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𝑢𝑣</m:t>
                        </m:r>
                      </m:sub>
                    </m:sSub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</m:sub>
                        </m:s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sub>
                        </m:sSub>
                      </m:num>
                      <m:den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𝑠𝑖𝑛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2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𝜃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</m:e>
                      <m: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𝑥𝑦</m:t>
                        </m:r>
                      </m:sub>
                    </m:sSub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𝑐𝑜𝑠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2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𝜃</m:t>
                    </m:r>
                  </m:oMath>
                </m:oMathPara>
              </a14:m>
              <a:endParaRPr lang="en-US" sz="12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8623A42D-F33D-46EC-9956-7F3D459D5DF7}"/>
                </a:ext>
              </a:extLst>
            </xdr:cNvPr>
            <xdr:cNvSpPr txBox="1"/>
          </xdr:nvSpPr>
          <xdr:spPr>
            <a:xfrm>
              <a:off x="9836726" y="1794163"/>
              <a:ext cx="2406074" cy="432570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𝐼_𝑢𝑣=(𝐼_𝑥−𝐼_𝑦)/2 𝑠𝑖𝑛2𝜃+𝐼_𝑥𝑦 𝑐𝑜𝑠2𝜃</a:t>
              </a:r>
              <a:endParaRPr lang="en-US" sz="1200"/>
            </a:p>
          </xdr:txBody>
        </xdr:sp>
      </mc:Fallback>
    </mc:AlternateContent>
    <xdr:clientData/>
  </xdr:oneCellAnchor>
  <xdr:oneCellAnchor>
    <xdr:from>
      <xdr:col>15</xdr:col>
      <xdr:colOff>330200</xdr:colOff>
      <xdr:row>4</xdr:row>
      <xdr:rowOff>228600</xdr:rowOff>
    </xdr:from>
    <xdr:ext cx="184731" cy="26456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11065933" y="101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59266</xdr:colOff>
      <xdr:row>14</xdr:row>
      <xdr:rowOff>84666</xdr:rowOff>
    </xdr:from>
    <xdr:ext cx="1902509" cy="5456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 txBox="1"/>
          </xdr:nvSpPr>
          <xdr:spPr>
            <a:xfrm>
              <a:off x="5257799" y="3581399"/>
              <a:ext cx="1902509" cy="545662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0" i="1">
                        <a:latin typeface="Cambria Math" panose="02040503050406030204" pitchFamily="18" charset="0"/>
                      </a:rPr>
                      <m:t>𝑅𝑎𝑑𝑖𝑢𝑠</m:t>
                    </m:r>
                    <m:r>
                      <a:rPr lang="en-US" sz="1200" b="0" i="1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2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12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n-US" sz="12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200" b="0" i="1">
                                            <a:latin typeface="Cambria Math" panose="02040503050406030204" pitchFamily="18" charset="0"/>
                                          </a:rPr>
                                          <m:t>𝐼</m:t>
                                        </m:r>
                                      </m:e>
                                      <m:sub>
                                        <m:r>
                                          <a:rPr lang="en-US" sz="1200" b="0" i="1">
                                            <a:latin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</m:sub>
                                    </m:sSub>
                                    <m:r>
                                      <a:rPr lang="en-US" sz="1200" b="0" i="1">
                                        <a:latin typeface="Cambria Math" panose="02040503050406030204" pitchFamily="18" charset="0"/>
                                      </a:rPr>
                                      <m:t>−</m:t>
                                    </m:r>
                                    <m:sSub>
                                      <m:sSubPr>
                                        <m:ctrlPr>
                                          <a:rPr lang="en-US" sz="12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200" b="0" i="1">
                                            <a:latin typeface="Cambria Math" panose="02040503050406030204" pitchFamily="18" charset="0"/>
                                          </a:rPr>
                                          <m:t>𝐼</m:t>
                                        </m:r>
                                      </m:e>
                                      <m:sub>
                                        <m:r>
                                          <a:rPr lang="en-US" sz="1200" b="0" i="1">
                                            <a:latin typeface="Cambria Math" panose="02040503050406030204" pitchFamily="18" charset="0"/>
                                          </a:rPr>
                                          <m:t>𝑦</m:t>
                                        </m:r>
                                      </m:sub>
                                    </m:sSub>
                                  </m:num>
                                  <m:den>
                                    <m:r>
                                      <a:rPr lang="en-US" sz="12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den>
                                </m:f>
                              </m:e>
                            </m:d>
                          </m:e>
                          <m:sup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+</m:t>
                        </m:r>
                        <m:sSubSup>
                          <m:sSubSupPr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𝑥𝑦</m:t>
                            </m:r>
                          </m:sub>
                          <m:sup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e>
                    </m:ra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C4BC7AEC-3C64-4FA9-8C21-BC6E6CCD1B9B}"/>
                </a:ext>
              </a:extLst>
            </xdr:cNvPr>
            <xdr:cNvSpPr txBox="1"/>
          </xdr:nvSpPr>
          <xdr:spPr>
            <a:xfrm>
              <a:off x="5257799" y="3581399"/>
              <a:ext cx="1902509" cy="545662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200" b="0" i="0">
                  <a:latin typeface="Cambria Math" panose="02040503050406030204" pitchFamily="18" charset="0"/>
                </a:rPr>
                <a:t>𝑅𝑎𝑑𝑖𝑢𝑠=√(((𝐼_𝑥−𝐼_𝑦)/2)^2+𝐼_𝑥𝑦^2 )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7</xdr:col>
      <xdr:colOff>50801</xdr:colOff>
      <xdr:row>11</xdr:row>
      <xdr:rowOff>237066</xdr:rowOff>
    </xdr:from>
    <xdr:ext cx="1727200" cy="4071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 txBox="1"/>
          </xdr:nvSpPr>
          <xdr:spPr>
            <a:xfrm>
              <a:off x="5249334" y="3047999"/>
              <a:ext cx="1727200" cy="407170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𝐶𝑒𝑛𝑡𝑒𝑟</m:t>
                        </m:r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</m:t>
                        </m:r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</m:e>
                      <m: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𝐴𝑉𝐺</m:t>
                        </m:r>
                      </m:sub>
                    </m:sSub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</m:sub>
                        </m:s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sub>
                        </m:sSub>
                      </m:num>
                      <m:den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</m:oMath>
                </m:oMathPara>
              </a14:m>
              <a:endParaRPr lang="en-US" sz="12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393DEE1D-3921-476F-B125-34F255FC8AC3}"/>
                </a:ext>
              </a:extLst>
            </xdr:cNvPr>
            <xdr:cNvSpPr txBox="1"/>
          </xdr:nvSpPr>
          <xdr:spPr>
            <a:xfrm>
              <a:off x="5249334" y="3047999"/>
              <a:ext cx="1727200" cy="407170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𝐶𝑒𝑛𝑡𝑒𝑟=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𝐼〗_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𝐴𝑉𝐺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=(𝐼_𝑥+𝐼_𝑦)/2</a:t>
              </a:r>
              <a:endParaRPr lang="en-US" sz="1200"/>
            </a:p>
          </xdr:txBody>
        </xdr:sp>
      </mc:Fallback>
    </mc:AlternateContent>
    <xdr:clientData/>
  </xdr:oneCellAnchor>
  <xdr:oneCellAnchor>
    <xdr:from>
      <xdr:col>7</xdr:col>
      <xdr:colOff>76201</xdr:colOff>
      <xdr:row>18</xdr:row>
      <xdr:rowOff>25400</xdr:rowOff>
    </xdr:from>
    <xdr:ext cx="1301318" cy="5499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 txBox="1"/>
          </xdr:nvSpPr>
          <xdr:spPr>
            <a:xfrm>
              <a:off x="5274734" y="4301067"/>
              <a:ext cx="1301318" cy="549959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0" i="1">
                        <a:latin typeface="Cambria Math" panose="02040503050406030204" pitchFamily="18" charset="0"/>
                      </a:rPr>
                      <m:t>𝑡𝑎𝑛</m:t>
                    </m:r>
                    <m:r>
                      <a:rPr lang="en-US" sz="1200" b="0" i="1">
                        <a:latin typeface="Cambria Math" panose="02040503050406030204" pitchFamily="18" charset="0"/>
                      </a:rPr>
                      <m:t>2</m:t>
                    </m:r>
                    <m:sSub>
                      <m:sSub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</m:e>
                      <m:sub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2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𝑥𝑦</m:t>
                            </m:r>
                          </m:sub>
                        </m:sSub>
                      </m:num>
                      <m:den>
                        <m:d>
                          <m:dPr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2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2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200" b="0" i="1">
                                        <a:latin typeface="Cambria Math" panose="02040503050406030204" pitchFamily="18" charset="0"/>
                                      </a:rPr>
                                      <m:t>𝐼</m:t>
                                    </m:r>
                                  </m:e>
                                  <m:sub>
                                    <m:r>
                                      <a:rPr lang="en-US" sz="1200" b="0" i="1">
                                        <a:latin typeface="Cambria Math" panose="02040503050406030204" pitchFamily="18" charset="0"/>
                                      </a:rPr>
                                      <m:t>𝑥</m:t>
                                    </m:r>
                                  </m:sub>
                                </m:sSub>
                                <m:r>
                                  <a:rPr lang="en-US" sz="12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n-US" sz="12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200" b="0" i="1">
                                        <a:latin typeface="Cambria Math" panose="02040503050406030204" pitchFamily="18" charset="0"/>
                                      </a:rPr>
                                      <m:t>𝐼</m:t>
                                    </m:r>
                                  </m:e>
                                  <m:sub>
                                    <m:r>
                                      <a:rPr lang="en-US" sz="1200" b="0" i="1">
                                        <a:latin typeface="Cambria Math" panose="02040503050406030204" pitchFamily="18" charset="0"/>
                                      </a:rPr>
                                      <m:t>𝑦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2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den>
                            </m:f>
                          </m:e>
                        </m:d>
                      </m:den>
                    </m:f>
                  </m:oMath>
                </m:oMathPara>
              </a14:m>
              <a:endParaRPr lang="en-US" sz="12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C2344B57-D350-46C3-8160-ED383AF2A470}"/>
                </a:ext>
              </a:extLst>
            </xdr:cNvPr>
            <xdr:cNvSpPr txBox="1"/>
          </xdr:nvSpPr>
          <xdr:spPr>
            <a:xfrm>
              <a:off x="5274734" y="4301067"/>
              <a:ext cx="1301318" cy="549959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200" b="0" i="0">
                  <a:latin typeface="Cambria Math" panose="02040503050406030204" pitchFamily="18" charset="0"/>
                </a:rPr>
                <a:t>𝑡𝑎𝑛2</a:t>
              </a:r>
              <a:r>
                <a:rPr lang="en-US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𝜃_</a:t>
              </a:r>
              <a:r>
                <a:rPr lang="en-US" sz="1200" b="0" i="0">
                  <a:latin typeface="Cambria Math" panose="02040503050406030204" pitchFamily="18" charset="0"/>
                </a:rPr>
                <a:t>𝑝=(−𝐼_𝑥𝑦)/(((𝐼_𝑥−𝐼_𝑦)/2) )</a:t>
              </a:r>
              <a:endParaRPr lang="en-US" sz="1200"/>
            </a:p>
          </xdr:txBody>
        </xdr:sp>
      </mc:Fallback>
    </mc:AlternateContent>
    <xdr:clientData/>
  </xdr:oneCellAnchor>
  <xdr:oneCellAnchor>
    <xdr:from>
      <xdr:col>2</xdr:col>
      <xdr:colOff>59267</xdr:colOff>
      <xdr:row>25</xdr:row>
      <xdr:rowOff>77259</xdr:rowOff>
    </xdr:from>
    <xdr:ext cx="1485471" cy="2619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 txBox="1"/>
          </xdr:nvSpPr>
          <xdr:spPr>
            <a:xfrm>
              <a:off x="1193800" y="5605992"/>
              <a:ext cx="1485471" cy="261938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𝑀𝐴𝑋</m:t>
                        </m:r>
                      </m:sub>
                    </m:sSub>
                    <m:r>
                      <a:rPr lang="en-US" sz="12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𝐴𝑉𝐺</m:t>
                        </m:r>
                      </m:sub>
                    </m:sSub>
                    <m:r>
                      <a:rPr lang="en-US" sz="12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200" b="0" i="1">
                        <a:latin typeface="Cambria Math" panose="02040503050406030204" pitchFamily="18" charset="0"/>
                      </a:rPr>
                      <m:t>𝑅𝑎𝑑𝑖𝑢𝑠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5E19E41B-78FB-40E8-8A79-7DD28A7966D5}"/>
                </a:ext>
              </a:extLst>
            </xdr:cNvPr>
            <xdr:cNvSpPr txBox="1"/>
          </xdr:nvSpPr>
          <xdr:spPr>
            <a:xfrm>
              <a:off x="1193800" y="5605992"/>
              <a:ext cx="1485471" cy="261938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200" b="0" i="0">
                  <a:latin typeface="Cambria Math" panose="02040503050406030204" pitchFamily="18" charset="0"/>
                </a:rPr>
                <a:t>𝐼_𝑀𝐴𝑋=𝐼_𝐴𝑉𝐺+𝑅𝑎𝑑𝑖𝑢𝑠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4</xdr:col>
      <xdr:colOff>244475</xdr:colOff>
      <xdr:row>25</xdr:row>
      <xdr:rowOff>67734</xdr:rowOff>
    </xdr:from>
    <xdr:ext cx="1485471" cy="2619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 txBox="1"/>
          </xdr:nvSpPr>
          <xdr:spPr>
            <a:xfrm>
              <a:off x="3013075" y="5596467"/>
              <a:ext cx="1485471" cy="261938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𝑀𝐼𝑁</m:t>
                        </m:r>
                      </m:sub>
                    </m:sSub>
                    <m:r>
                      <a:rPr lang="en-US" sz="12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𝐴𝑉𝐺</m:t>
                        </m:r>
                      </m:sub>
                    </m:sSub>
                    <m:r>
                      <a:rPr lang="en-US" sz="12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sz="1200" b="0" i="1">
                        <a:latin typeface="Cambria Math" panose="02040503050406030204" pitchFamily="18" charset="0"/>
                      </a:rPr>
                      <m:t>𝑅𝑎𝑑𝑖𝑢𝑠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C8CF3863-7433-443E-ACCE-761E491B9F29}"/>
                </a:ext>
              </a:extLst>
            </xdr:cNvPr>
            <xdr:cNvSpPr txBox="1"/>
          </xdr:nvSpPr>
          <xdr:spPr>
            <a:xfrm>
              <a:off x="3013075" y="5596467"/>
              <a:ext cx="1485471" cy="261938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200" b="0" i="0">
                  <a:latin typeface="Cambria Math" panose="02040503050406030204" pitchFamily="18" charset="0"/>
                </a:rPr>
                <a:t>𝐼_𝑀𝐼𝑁=𝐼_𝐴𝑉𝐺−𝑅𝑎𝑑𝑖𝑢𝑠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18</xdr:col>
      <xdr:colOff>10420</xdr:colOff>
      <xdr:row>3</xdr:row>
      <xdr:rowOff>114626</xdr:rowOff>
    </xdr:from>
    <xdr:ext cx="2500172" cy="19037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 txBox="1"/>
          </xdr:nvSpPr>
          <xdr:spPr>
            <a:xfrm>
              <a:off x="12817882" y="630441"/>
              <a:ext cx="2500172" cy="190373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𝑢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sub>
                    </m:sSub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𝑐𝑜𝑠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𝜃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𝑦</m:t>
                        </m:r>
                      </m:sub>
                    </m:sSub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𝑠𝑖𝑛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𝜃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𝑥𝑦</m:t>
                        </m:r>
                      </m:sub>
                    </m:sSub>
                    <m:func>
                      <m:func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sin</m:t>
                        </m:r>
                      </m:fName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𝜃</m:t>
                        </m:r>
                      </m:e>
                    </m:func>
                    <m:func>
                      <m:func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cos</m:t>
                        </m:r>
                      </m:fName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𝜃</m:t>
                        </m:r>
                      </m:e>
                    </m:func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5717D850-2CBF-4D79-A857-DA9A43045835}"/>
                </a:ext>
              </a:extLst>
            </xdr:cNvPr>
            <xdr:cNvSpPr txBox="1"/>
          </xdr:nvSpPr>
          <xdr:spPr>
            <a:xfrm>
              <a:off x="12817882" y="630441"/>
              <a:ext cx="2500172" cy="190373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𝐼_𝑢=𝐼_𝑥 〖𝑐𝑜𝑠〗^2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𝜃+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𝐼_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𝑠𝑖𝑛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〗^2 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𝐼_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𝑥𝑦  sin⁡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cos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⁡𝜃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17</xdr:col>
      <xdr:colOff>644770</xdr:colOff>
      <xdr:row>5</xdr:row>
      <xdr:rowOff>105508</xdr:rowOff>
    </xdr:from>
    <xdr:ext cx="2492414" cy="19037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 txBox="1"/>
          </xdr:nvSpPr>
          <xdr:spPr>
            <a:xfrm>
              <a:off x="12795739" y="1172308"/>
              <a:ext cx="2492414" cy="190373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sub>
                    </m:sSub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𝑠𝑖𝑛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𝜃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𝑦</m:t>
                        </m:r>
                      </m:sub>
                    </m:sSub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𝑐𝑜𝑠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𝜃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+2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𝑥𝑦</m:t>
                        </m:r>
                      </m:sub>
                    </m:sSub>
                    <m:func>
                      <m:func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sin</m:t>
                        </m:r>
                      </m:fName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𝜃</m:t>
                        </m:r>
                      </m:e>
                    </m:func>
                    <m:func>
                      <m:func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cos</m:t>
                        </m:r>
                      </m:fName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𝜃</m:t>
                        </m:r>
                      </m:e>
                    </m:func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75F3261B-5147-46C4-8D43-FBC1C1261BA6}"/>
                </a:ext>
              </a:extLst>
            </xdr:cNvPr>
            <xdr:cNvSpPr txBox="1"/>
          </xdr:nvSpPr>
          <xdr:spPr>
            <a:xfrm>
              <a:off x="12795739" y="1172308"/>
              <a:ext cx="2492414" cy="190373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𝐼_𝑣=𝐼_𝑥 〖𝑠𝑖𝑛〗^2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𝜃+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𝐼_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𝑐𝑜𝑠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〗^2 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𝐼_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𝑥𝑦  sin⁡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cos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⁡𝜃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17</xdr:col>
      <xdr:colOff>646967</xdr:colOff>
      <xdr:row>7</xdr:row>
      <xdr:rowOff>41031</xdr:rowOff>
    </xdr:from>
    <xdr:ext cx="257795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 txBox="1"/>
          </xdr:nvSpPr>
          <xdr:spPr>
            <a:xfrm>
              <a:off x="12886592" y="1707906"/>
              <a:ext cx="2577950" cy="500137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𝑀𝐴𝑋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𝑜𝑟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𝑀𝐼𝑁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±</m:t>
                    </m:r>
                    <m:rad>
                      <m:radPr>
                        <m:degHide m:val="on"/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n-US" sz="11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𝐼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</m:sub>
                                    </m:s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−</m:t>
                                    </m:r>
                                    <m:sSub>
                                      <m:sSubPr>
                                        <m:ctrlPr>
                                          <a:rPr lang="en-US" sz="11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𝐼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𝑦</m:t>
                                        </m:r>
                                      </m:sub>
                                    </m:sSub>
                                  </m:num>
                                  <m:den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2</m:t>
                                    </m:r>
                                  </m:den>
                                </m:f>
                              </m:e>
                            </m:d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Sup>
                          <m:sSubSup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𝑥𝑦</m:t>
                            </m:r>
                          </m:sub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e>
                    </m:ra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1D34806E-9338-4383-BD29-38AEAB952C2D}"/>
                </a:ext>
              </a:extLst>
            </xdr:cNvPr>
            <xdr:cNvSpPr txBox="1"/>
          </xdr:nvSpPr>
          <xdr:spPr>
            <a:xfrm>
              <a:off x="12886592" y="1707906"/>
              <a:ext cx="2577950" cy="500137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𝐼_(𝑀𝐴𝑋 𝑜𝑟 𝑀𝐼𝑁)=(𝐼_𝑥+𝐼_𝑦)/2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±√(((𝐼_𝑥−𝐼_𝑦)/2)^2+𝐼_𝑥𝑦^2 )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9</xdr:col>
      <xdr:colOff>239485</xdr:colOff>
      <xdr:row>2</xdr:row>
      <xdr:rowOff>47626</xdr:rowOff>
    </xdr:from>
    <xdr:to>
      <xdr:col>9</xdr:col>
      <xdr:colOff>424542</xdr:colOff>
      <xdr:row>2</xdr:row>
      <xdr:rowOff>232683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687910" y="390526"/>
          <a:ext cx="185057" cy="18505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400048</xdr:colOff>
      <xdr:row>40</xdr:row>
      <xdr:rowOff>119062</xdr:rowOff>
    </xdr:from>
    <xdr:to>
      <xdr:col>28</xdr:col>
      <xdr:colOff>321467</xdr:colOff>
      <xdr:row>69</xdr:row>
      <xdr:rowOff>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288470</xdr:colOff>
      <xdr:row>20</xdr:row>
      <xdr:rowOff>2723</xdr:rowOff>
    </xdr:from>
    <xdr:to>
      <xdr:col>27</xdr:col>
      <xdr:colOff>28574</xdr:colOff>
      <xdr:row>53</xdr:row>
      <xdr:rowOff>42333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261258</xdr:colOff>
      <xdr:row>4</xdr:row>
      <xdr:rowOff>54428</xdr:rowOff>
    </xdr:from>
    <xdr:to>
      <xdr:col>9</xdr:col>
      <xdr:colOff>446315</xdr:colOff>
      <xdr:row>4</xdr:row>
      <xdr:rowOff>239485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844938" y="892628"/>
          <a:ext cx="185057" cy="185057"/>
        </a:xfrm>
        <a:prstGeom prst="ellipse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250371</xdr:colOff>
      <xdr:row>3</xdr:row>
      <xdr:rowOff>32658</xdr:rowOff>
    </xdr:from>
    <xdr:to>
      <xdr:col>9</xdr:col>
      <xdr:colOff>435428</xdr:colOff>
      <xdr:row>3</xdr:row>
      <xdr:rowOff>217715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6834051" y="596538"/>
          <a:ext cx="185057" cy="18505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272143</xdr:colOff>
      <xdr:row>5</xdr:row>
      <xdr:rowOff>43541</xdr:rowOff>
    </xdr:from>
    <xdr:to>
      <xdr:col>9</xdr:col>
      <xdr:colOff>457200</xdr:colOff>
      <xdr:row>5</xdr:row>
      <xdr:rowOff>228598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855823" y="1156061"/>
          <a:ext cx="185057" cy="185057"/>
        </a:xfrm>
        <a:prstGeom prst="ellipse">
          <a:avLst/>
        </a:prstGeom>
        <a:solidFill>
          <a:srgbClr val="00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266700</xdr:colOff>
      <xdr:row>7</xdr:row>
      <xdr:rowOff>47625</xdr:rowOff>
    </xdr:from>
    <xdr:to>
      <xdr:col>9</xdr:col>
      <xdr:colOff>451757</xdr:colOff>
      <xdr:row>7</xdr:row>
      <xdr:rowOff>232682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850380" y="1731645"/>
          <a:ext cx="185057" cy="185057"/>
        </a:xfrm>
        <a:prstGeom prst="ellipse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276225</xdr:colOff>
      <xdr:row>8</xdr:row>
      <xdr:rowOff>38100</xdr:rowOff>
    </xdr:from>
    <xdr:to>
      <xdr:col>9</xdr:col>
      <xdr:colOff>461282</xdr:colOff>
      <xdr:row>8</xdr:row>
      <xdr:rowOff>223157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6859905" y="2019300"/>
          <a:ext cx="185057" cy="185057"/>
        </a:xfrm>
        <a:prstGeom prst="ellipse">
          <a:avLst/>
        </a:prstGeom>
        <a:solidFill>
          <a:srgbClr val="CCFFC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13</xdr:col>
      <xdr:colOff>141143</xdr:colOff>
      <xdr:row>3</xdr:row>
      <xdr:rowOff>131183</xdr:rowOff>
    </xdr:from>
    <xdr:ext cx="2727997" cy="42444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SpPr txBox="1"/>
          </xdr:nvSpPr>
          <xdr:spPr>
            <a:xfrm>
              <a:off x="9650903" y="695063"/>
              <a:ext cx="2727997" cy="424442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</m:e>
                      <m: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𝑢</m:t>
                        </m:r>
                      </m:sub>
                    </m:sSub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</m:sub>
                        </m:s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sub>
                        </m:sSub>
                      </m:num>
                      <m:den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f>
                      <m:f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</m:sub>
                        </m:s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sub>
                        </m:sSub>
                      </m:num>
                      <m:den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𝑐𝑜𝑠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2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𝜃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</m:e>
                      <m: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𝑥𝑦</m:t>
                        </m:r>
                      </m:sub>
                    </m:sSub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𝑠𝑖𝑛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2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𝜃</m:t>
                    </m:r>
                  </m:oMath>
                </m:oMathPara>
              </a14:m>
              <a:endParaRPr lang="en-US" sz="12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F7153763-938E-45F9-ABFC-B7E95FAA018F}"/>
                </a:ext>
              </a:extLst>
            </xdr:cNvPr>
            <xdr:cNvSpPr txBox="1"/>
          </xdr:nvSpPr>
          <xdr:spPr>
            <a:xfrm>
              <a:off x="9650903" y="695063"/>
              <a:ext cx="2727997" cy="424442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𝐼_𝑢=(𝐼_𝑥+𝐼_𝑦)/2+(𝐼_𝑥−𝐼_𝑦)/2 𝑐𝑜𝑠2𝜃−𝐼_𝑥𝑦 𝑠𝑖𝑛2𝜃</a:t>
              </a:r>
              <a:endParaRPr lang="en-US" sz="1200"/>
            </a:p>
          </xdr:txBody>
        </xdr:sp>
      </mc:Fallback>
    </mc:AlternateContent>
    <xdr:clientData/>
  </xdr:oneCellAnchor>
  <xdr:oneCellAnchor>
    <xdr:from>
      <xdr:col>13</xdr:col>
      <xdr:colOff>142874</xdr:colOff>
      <xdr:row>5</xdr:row>
      <xdr:rowOff>108239</xdr:rowOff>
    </xdr:from>
    <xdr:ext cx="2760133" cy="4071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SpPr txBox="1"/>
          </xdr:nvSpPr>
          <xdr:spPr>
            <a:xfrm>
              <a:off x="9652634" y="1220759"/>
              <a:ext cx="2760133" cy="407170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</m:e>
                      <m: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𝑣</m:t>
                        </m:r>
                      </m:sub>
                    </m:sSub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</m:sub>
                        </m:s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sub>
                        </m:sSub>
                      </m:num>
                      <m:den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f>
                      <m:f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</m:sub>
                        </m:s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sub>
                        </m:sSub>
                      </m:num>
                      <m:den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𝑐𝑜𝑠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2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𝜃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</m:e>
                      <m: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𝑥𝑦</m:t>
                        </m:r>
                      </m:sub>
                    </m:sSub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𝑠𝑖𝑛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2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𝜃</m:t>
                    </m:r>
                  </m:oMath>
                </m:oMathPara>
              </a14:m>
              <a:endParaRPr lang="en-US" sz="12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D61A7B83-D9FD-403D-8A12-483EFE92511F}"/>
                </a:ext>
              </a:extLst>
            </xdr:cNvPr>
            <xdr:cNvSpPr txBox="1"/>
          </xdr:nvSpPr>
          <xdr:spPr>
            <a:xfrm>
              <a:off x="9652634" y="1220759"/>
              <a:ext cx="2760133" cy="407170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𝐼_𝑣=(𝐼_𝑥+𝐼_𝑦)/2−(𝐼_𝑥−𝐼_𝑦)/2 𝑐𝑜𝑠2𝜃+𝐼_𝑥𝑦 𝑠𝑖𝑛2𝜃</a:t>
              </a:r>
              <a:endParaRPr lang="en-US" sz="1200"/>
            </a:p>
          </xdr:txBody>
        </xdr:sp>
      </mc:Fallback>
    </mc:AlternateContent>
    <xdr:clientData/>
  </xdr:oneCellAnchor>
  <xdr:oneCellAnchor>
    <xdr:from>
      <xdr:col>13</xdr:col>
      <xdr:colOff>149801</xdr:colOff>
      <xdr:row>7</xdr:row>
      <xdr:rowOff>98713</xdr:rowOff>
    </xdr:from>
    <xdr:ext cx="2406074" cy="432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SpPr txBox="1"/>
          </xdr:nvSpPr>
          <xdr:spPr>
            <a:xfrm>
              <a:off x="9659561" y="1782733"/>
              <a:ext cx="2406074" cy="432570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</m:e>
                      <m: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𝑢𝑣</m:t>
                        </m:r>
                      </m:sub>
                    </m:sSub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</m:sub>
                        </m:s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sub>
                        </m:sSub>
                      </m:num>
                      <m:den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𝑠𝑖𝑛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2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𝜃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</m:e>
                      <m: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𝑥𝑦</m:t>
                        </m:r>
                      </m:sub>
                    </m:sSub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𝑐𝑜𝑠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2</m:t>
                    </m:r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𝜃</m:t>
                    </m:r>
                  </m:oMath>
                </m:oMathPara>
              </a14:m>
              <a:endParaRPr lang="en-US" sz="12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E795C390-2BA5-4419-A470-9D3B46FA0290}"/>
                </a:ext>
              </a:extLst>
            </xdr:cNvPr>
            <xdr:cNvSpPr txBox="1"/>
          </xdr:nvSpPr>
          <xdr:spPr>
            <a:xfrm>
              <a:off x="9659561" y="1782733"/>
              <a:ext cx="2406074" cy="432570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𝐼_𝑢𝑣=(𝐼_𝑥−𝐼_𝑦)/2 𝑠𝑖𝑛2𝜃+𝐼_𝑥𝑦 𝑐𝑜𝑠2𝜃</a:t>
              </a:r>
              <a:endParaRPr lang="en-US" sz="1200"/>
            </a:p>
          </xdr:txBody>
        </xdr:sp>
      </mc:Fallback>
    </mc:AlternateContent>
    <xdr:clientData/>
  </xdr:oneCellAnchor>
  <xdr:oneCellAnchor>
    <xdr:from>
      <xdr:col>15</xdr:col>
      <xdr:colOff>330200</xdr:colOff>
      <xdr:row>4</xdr:row>
      <xdr:rowOff>228600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11303000" y="106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18</xdr:col>
      <xdr:colOff>40216</xdr:colOff>
      <xdr:row>9</xdr:row>
      <xdr:rowOff>170391</xdr:rowOff>
    </xdr:from>
    <xdr:ext cx="1902509" cy="5456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400-00000C000000}"/>
                </a:ext>
              </a:extLst>
            </xdr:cNvPr>
            <xdr:cNvSpPr txBox="1"/>
          </xdr:nvSpPr>
          <xdr:spPr>
            <a:xfrm>
              <a:off x="13055176" y="2448771"/>
              <a:ext cx="1902509" cy="545662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0" i="1">
                        <a:latin typeface="Cambria Math" panose="02040503050406030204" pitchFamily="18" charset="0"/>
                      </a:rPr>
                      <m:t>𝑅𝑎𝑑𝑖𝑢𝑠</m:t>
                    </m:r>
                    <m:r>
                      <a:rPr lang="en-US" sz="1200" b="0" i="1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2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12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n-US" sz="12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200" b="0" i="1">
                                            <a:latin typeface="Cambria Math" panose="02040503050406030204" pitchFamily="18" charset="0"/>
                                          </a:rPr>
                                          <m:t>𝐼</m:t>
                                        </m:r>
                                      </m:e>
                                      <m:sub>
                                        <m:r>
                                          <a:rPr lang="en-US" sz="1200" b="0" i="1">
                                            <a:latin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</m:sub>
                                    </m:sSub>
                                    <m:r>
                                      <a:rPr lang="en-US" sz="1200" b="0" i="1">
                                        <a:latin typeface="Cambria Math" panose="02040503050406030204" pitchFamily="18" charset="0"/>
                                      </a:rPr>
                                      <m:t>−</m:t>
                                    </m:r>
                                    <m:sSub>
                                      <m:sSubPr>
                                        <m:ctrlPr>
                                          <a:rPr lang="en-US" sz="12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200" b="0" i="1">
                                            <a:latin typeface="Cambria Math" panose="02040503050406030204" pitchFamily="18" charset="0"/>
                                          </a:rPr>
                                          <m:t>𝐼</m:t>
                                        </m:r>
                                      </m:e>
                                      <m:sub>
                                        <m:r>
                                          <a:rPr lang="en-US" sz="1200" b="0" i="1">
                                            <a:latin typeface="Cambria Math" panose="02040503050406030204" pitchFamily="18" charset="0"/>
                                          </a:rPr>
                                          <m:t>𝑦</m:t>
                                        </m:r>
                                      </m:sub>
                                    </m:sSub>
                                  </m:num>
                                  <m:den>
                                    <m:r>
                                      <a:rPr lang="en-US" sz="12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den>
                                </m:f>
                              </m:e>
                            </m:d>
                          </m:e>
                          <m:sup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+</m:t>
                        </m:r>
                        <m:sSubSup>
                          <m:sSubSupPr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𝑥𝑦</m:t>
                            </m:r>
                          </m:sub>
                          <m:sup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e>
                    </m:ra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C7D004ED-9255-4B41-9D22-1139DCA26151}"/>
                </a:ext>
              </a:extLst>
            </xdr:cNvPr>
            <xdr:cNvSpPr txBox="1"/>
          </xdr:nvSpPr>
          <xdr:spPr>
            <a:xfrm>
              <a:off x="13055176" y="2448771"/>
              <a:ext cx="1902509" cy="545662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200" b="0" i="0">
                  <a:latin typeface="Cambria Math" panose="02040503050406030204" pitchFamily="18" charset="0"/>
                </a:rPr>
                <a:t>𝑅𝑎𝑑𝑖𝑢𝑠=√(((𝐼_𝑥−𝐼_𝑦)/2)^2+𝐼_𝑥𝑦^2 )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15</xdr:col>
      <xdr:colOff>88901</xdr:colOff>
      <xdr:row>9</xdr:row>
      <xdr:rowOff>237066</xdr:rowOff>
    </xdr:from>
    <xdr:ext cx="1727200" cy="4071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400-00000D000000}"/>
                </a:ext>
              </a:extLst>
            </xdr:cNvPr>
            <xdr:cNvSpPr txBox="1"/>
          </xdr:nvSpPr>
          <xdr:spPr>
            <a:xfrm>
              <a:off x="11061701" y="2515446"/>
              <a:ext cx="1727200" cy="407170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𝐶𝑒𝑛𝑡𝑒𝑟</m:t>
                        </m:r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</m:t>
                        </m:r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</m:e>
                      <m: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𝐴𝑉𝐺</m:t>
                        </m:r>
                      </m:sub>
                    </m:sSub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</m:sub>
                        </m:sSub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sub>
                        </m:sSub>
                      </m:num>
                      <m:den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</m:oMath>
                </m:oMathPara>
              </a14:m>
              <a:endParaRPr lang="en-US" sz="12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FEC8433-B1A0-4B53-A5DB-3B37B6CB6A3F}"/>
                </a:ext>
              </a:extLst>
            </xdr:cNvPr>
            <xdr:cNvSpPr txBox="1"/>
          </xdr:nvSpPr>
          <xdr:spPr>
            <a:xfrm>
              <a:off x="11061701" y="2515446"/>
              <a:ext cx="1727200" cy="407170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〖𝐶𝑒𝑛𝑡𝑒𝑟=𝐼〗_𝐴𝑉𝐺=(𝐼_𝑥+𝐼_𝑦)/2</a:t>
              </a:r>
              <a:endParaRPr lang="en-US" sz="1200"/>
            </a:p>
          </xdr:txBody>
        </xdr:sp>
      </mc:Fallback>
    </mc:AlternateContent>
    <xdr:clientData/>
  </xdr:oneCellAnchor>
  <xdr:oneCellAnchor>
    <xdr:from>
      <xdr:col>12</xdr:col>
      <xdr:colOff>723901</xdr:colOff>
      <xdr:row>9</xdr:row>
      <xdr:rowOff>196850</xdr:rowOff>
    </xdr:from>
    <xdr:ext cx="1301318" cy="5499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400-00000E000000}"/>
                </a:ext>
              </a:extLst>
            </xdr:cNvPr>
            <xdr:cNvSpPr txBox="1"/>
          </xdr:nvSpPr>
          <xdr:spPr>
            <a:xfrm>
              <a:off x="9502141" y="2475230"/>
              <a:ext cx="1301318" cy="549959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0" i="1">
                        <a:latin typeface="Cambria Math" panose="02040503050406030204" pitchFamily="18" charset="0"/>
                      </a:rPr>
                      <m:t>𝑡𝑎𝑛</m:t>
                    </m:r>
                    <m:r>
                      <a:rPr lang="en-US" sz="1200" b="0" i="1">
                        <a:latin typeface="Cambria Math" panose="02040503050406030204" pitchFamily="18" charset="0"/>
                      </a:rPr>
                      <m:t>2</m:t>
                    </m:r>
                    <m:sSub>
                      <m:sSub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</m:e>
                      <m:sub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2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𝑥𝑦</m:t>
                            </m:r>
                          </m:sub>
                        </m:sSub>
                      </m:num>
                      <m:den>
                        <m:d>
                          <m:dPr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2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2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200" b="0" i="1">
                                        <a:latin typeface="Cambria Math" panose="02040503050406030204" pitchFamily="18" charset="0"/>
                                      </a:rPr>
                                      <m:t>𝐼</m:t>
                                    </m:r>
                                  </m:e>
                                  <m:sub>
                                    <m:r>
                                      <a:rPr lang="en-US" sz="1200" b="0" i="1">
                                        <a:latin typeface="Cambria Math" panose="02040503050406030204" pitchFamily="18" charset="0"/>
                                      </a:rPr>
                                      <m:t>𝑥</m:t>
                                    </m:r>
                                  </m:sub>
                                </m:sSub>
                                <m:r>
                                  <a:rPr lang="en-US" sz="12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n-US" sz="12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200" b="0" i="1">
                                        <a:latin typeface="Cambria Math" panose="02040503050406030204" pitchFamily="18" charset="0"/>
                                      </a:rPr>
                                      <m:t>𝐼</m:t>
                                    </m:r>
                                  </m:e>
                                  <m:sub>
                                    <m:r>
                                      <a:rPr lang="en-US" sz="1200" b="0" i="1">
                                        <a:latin typeface="Cambria Math" panose="02040503050406030204" pitchFamily="18" charset="0"/>
                                      </a:rPr>
                                      <m:t>𝑦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2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den>
                            </m:f>
                          </m:e>
                        </m:d>
                      </m:den>
                    </m:f>
                  </m:oMath>
                </m:oMathPara>
              </a14:m>
              <a:endParaRPr lang="en-US" sz="12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5CD7D6F-71C8-484F-8343-369767C45B6B}"/>
                </a:ext>
              </a:extLst>
            </xdr:cNvPr>
            <xdr:cNvSpPr txBox="1"/>
          </xdr:nvSpPr>
          <xdr:spPr>
            <a:xfrm>
              <a:off x="9502141" y="2475230"/>
              <a:ext cx="1301318" cy="549959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200" b="0" i="0">
                  <a:latin typeface="Cambria Math" panose="02040503050406030204" pitchFamily="18" charset="0"/>
                </a:rPr>
                <a:t>𝑡𝑎𝑛2</a:t>
              </a:r>
              <a:r>
                <a:rPr lang="en-US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𝜃_</a:t>
              </a:r>
              <a:r>
                <a:rPr lang="en-US" sz="1200" b="0" i="0">
                  <a:latin typeface="Cambria Math" panose="02040503050406030204" pitchFamily="18" charset="0"/>
                </a:rPr>
                <a:t>𝑝=(−𝐼_𝑥𝑦)/(((𝐼_𝑥−𝐼_𝑦)/2) )</a:t>
              </a:r>
              <a:endParaRPr lang="en-US" sz="1200"/>
            </a:p>
          </xdr:txBody>
        </xdr:sp>
      </mc:Fallback>
    </mc:AlternateContent>
    <xdr:clientData/>
  </xdr:oneCellAnchor>
  <xdr:oneCellAnchor>
    <xdr:from>
      <xdr:col>2</xdr:col>
      <xdr:colOff>59267</xdr:colOff>
      <xdr:row>25</xdr:row>
      <xdr:rowOff>77259</xdr:rowOff>
    </xdr:from>
    <xdr:ext cx="1485471" cy="2619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400-00000F000000}"/>
                </a:ext>
              </a:extLst>
            </xdr:cNvPr>
            <xdr:cNvSpPr txBox="1"/>
          </xdr:nvSpPr>
          <xdr:spPr>
            <a:xfrm>
              <a:off x="1194647" y="5914179"/>
              <a:ext cx="1485471" cy="261938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𝑀𝐴𝑋</m:t>
                        </m:r>
                      </m:sub>
                    </m:sSub>
                    <m:r>
                      <a:rPr lang="en-US" sz="12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𝐴𝑉𝐺</m:t>
                        </m:r>
                      </m:sub>
                    </m:sSub>
                    <m:r>
                      <a:rPr lang="en-US" sz="12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200" b="0" i="1">
                        <a:latin typeface="Cambria Math" panose="02040503050406030204" pitchFamily="18" charset="0"/>
                      </a:rPr>
                      <m:t>𝑅𝑎𝑑𝑖𝑢𝑠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19E11934-73D2-4A63-84C5-CFA0090D42E2}"/>
                </a:ext>
              </a:extLst>
            </xdr:cNvPr>
            <xdr:cNvSpPr txBox="1"/>
          </xdr:nvSpPr>
          <xdr:spPr>
            <a:xfrm>
              <a:off x="1194647" y="5914179"/>
              <a:ext cx="1485471" cy="261938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200" b="0" i="0">
                  <a:latin typeface="Cambria Math" panose="02040503050406030204" pitchFamily="18" charset="0"/>
                </a:rPr>
                <a:t>𝐼_𝑀𝐴𝑋=𝐼_𝐴𝑉𝐺+𝑅𝑎𝑑𝑖𝑢𝑠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4</xdr:col>
      <xdr:colOff>244475</xdr:colOff>
      <xdr:row>25</xdr:row>
      <xdr:rowOff>67734</xdr:rowOff>
    </xdr:from>
    <xdr:ext cx="1485471" cy="2619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400-000010000000}"/>
                </a:ext>
              </a:extLst>
            </xdr:cNvPr>
            <xdr:cNvSpPr txBox="1"/>
          </xdr:nvSpPr>
          <xdr:spPr>
            <a:xfrm>
              <a:off x="3223895" y="5904654"/>
              <a:ext cx="1485471" cy="261938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𝑀𝐼𝑁</m:t>
                        </m:r>
                      </m:sub>
                    </m:sSub>
                    <m:r>
                      <a:rPr lang="en-US" sz="12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𝐴𝑉𝐺</m:t>
                        </m:r>
                      </m:sub>
                    </m:sSub>
                    <m:r>
                      <a:rPr lang="en-US" sz="12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sz="1200" b="0" i="1">
                        <a:latin typeface="Cambria Math" panose="02040503050406030204" pitchFamily="18" charset="0"/>
                      </a:rPr>
                      <m:t>𝑅𝑎𝑑𝑖𝑢𝑠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D338BEB0-6A68-4645-8C8A-AF48D5547F1F}"/>
                </a:ext>
              </a:extLst>
            </xdr:cNvPr>
            <xdr:cNvSpPr txBox="1"/>
          </xdr:nvSpPr>
          <xdr:spPr>
            <a:xfrm>
              <a:off x="3223895" y="5904654"/>
              <a:ext cx="1485471" cy="261938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200" b="0" i="0">
                  <a:latin typeface="Cambria Math" panose="02040503050406030204" pitchFamily="18" charset="0"/>
                </a:rPr>
                <a:t>𝐼_𝑀𝐼𝑁=𝐼_𝐴𝑉𝐺−𝑅𝑎𝑑𝑖𝑢𝑠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18</xdr:col>
      <xdr:colOff>58045</xdr:colOff>
      <xdr:row>3</xdr:row>
      <xdr:rowOff>181301</xdr:rowOff>
    </xdr:from>
    <xdr:ext cx="2500172" cy="19037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400-000011000000}"/>
                </a:ext>
              </a:extLst>
            </xdr:cNvPr>
            <xdr:cNvSpPr txBox="1"/>
          </xdr:nvSpPr>
          <xdr:spPr>
            <a:xfrm>
              <a:off x="13073005" y="745181"/>
              <a:ext cx="2500172" cy="190373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𝑢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sub>
                    </m:sSub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𝑐𝑜𝑠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𝜃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𝑦</m:t>
                        </m:r>
                      </m:sub>
                    </m:sSub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𝑠𝑖𝑛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𝜃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𝑥𝑦</m:t>
                        </m:r>
                      </m:sub>
                    </m:sSub>
                    <m:func>
                      <m:func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sin</m:t>
                        </m:r>
                      </m:fName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𝜃</m:t>
                        </m:r>
                      </m:e>
                    </m:func>
                    <m:func>
                      <m:func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cos</m:t>
                        </m:r>
                      </m:fName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𝜃</m:t>
                        </m:r>
                      </m:e>
                    </m:func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6B63AA63-98CD-44A3-B0E2-D116959BBBF0}"/>
                </a:ext>
              </a:extLst>
            </xdr:cNvPr>
            <xdr:cNvSpPr txBox="1"/>
          </xdr:nvSpPr>
          <xdr:spPr>
            <a:xfrm>
              <a:off x="13073005" y="745181"/>
              <a:ext cx="2500172" cy="190373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𝐼_𝑢=𝐼_𝑥 〖𝑐𝑜𝑠〗^2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𝜃+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𝐼_𝑦 〖𝑠𝑖𝑛〗^2 𝜃−2𝐼_𝑥𝑦  sin⁡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cos⁡𝜃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18</xdr:col>
      <xdr:colOff>73270</xdr:colOff>
      <xdr:row>4</xdr:row>
      <xdr:rowOff>267433</xdr:rowOff>
    </xdr:from>
    <xdr:ext cx="2492414" cy="19037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00000000-0008-0000-0400-000012000000}"/>
                </a:ext>
              </a:extLst>
            </xdr:cNvPr>
            <xdr:cNvSpPr txBox="1"/>
          </xdr:nvSpPr>
          <xdr:spPr>
            <a:xfrm>
              <a:off x="13088230" y="1105633"/>
              <a:ext cx="2492414" cy="190373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sub>
                    </m:sSub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𝑠𝑖𝑛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𝜃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𝑦</m:t>
                        </m:r>
                      </m:sub>
                    </m:sSub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𝑐𝑜𝑠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𝜃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+2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𝑥𝑦</m:t>
                        </m:r>
                      </m:sub>
                    </m:sSub>
                    <m:func>
                      <m:func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sin</m:t>
                        </m:r>
                      </m:fName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𝜃</m:t>
                        </m:r>
                      </m:e>
                    </m:func>
                    <m:func>
                      <m:func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cos</m:t>
                        </m:r>
                      </m:fName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𝜃</m:t>
                        </m:r>
                      </m:e>
                    </m:func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DC59D099-749F-456E-906C-FAB44FD64D61}"/>
                </a:ext>
              </a:extLst>
            </xdr:cNvPr>
            <xdr:cNvSpPr txBox="1"/>
          </xdr:nvSpPr>
          <xdr:spPr>
            <a:xfrm>
              <a:off x="13088230" y="1105633"/>
              <a:ext cx="2492414" cy="190373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𝐼_𝑣=𝐼_𝑥 〖𝑠𝑖𝑛〗^2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𝜃+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𝐼_𝑦 〖𝑐𝑜𝑠〗^2 𝜃+2𝐼_𝑥𝑦  sin⁡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cos⁡𝜃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17</xdr:col>
      <xdr:colOff>123092</xdr:colOff>
      <xdr:row>7</xdr:row>
      <xdr:rowOff>50556</xdr:rowOff>
    </xdr:from>
    <xdr:ext cx="257795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00000000-0008-0000-0400-000013000000}"/>
                </a:ext>
              </a:extLst>
            </xdr:cNvPr>
            <xdr:cNvSpPr txBox="1"/>
          </xdr:nvSpPr>
          <xdr:spPr>
            <a:xfrm>
              <a:off x="12482732" y="1734576"/>
              <a:ext cx="2577950" cy="500137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𝑀𝐴𝑋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𝑜𝑟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𝑀𝐼𝑁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±</m:t>
                    </m:r>
                    <m:rad>
                      <m:radPr>
                        <m:degHide m:val="on"/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n-US" sz="11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𝐼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</m:sub>
                                    </m:s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−</m:t>
                                    </m:r>
                                    <m:sSub>
                                      <m:sSubPr>
                                        <m:ctrlPr>
                                          <a:rPr lang="en-US" sz="11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𝐼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𝑦</m:t>
                                        </m:r>
                                      </m:sub>
                                    </m:sSub>
                                  </m:num>
                                  <m:den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2</m:t>
                                    </m:r>
                                  </m:den>
                                </m:f>
                              </m:e>
                            </m:d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Sup>
                          <m:sSubSup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𝑥𝑦</m:t>
                            </m:r>
                          </m:sub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e>
                    </m:ra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9C34D6FD-76F4-432B-BABF-4868D459DEBD}"/>
                </a:ext>
              </a:extLst>
            </xdr:cNvPr>
            <xdr:cNvSpPr txBox="1"/>
          </xdr:nvSpPr>
          <xdr:spPr>
            <a:xfrm>
              <a:off x="12482732" y="1734576"/>
              <a:ext cx="2577950" cy="500137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𝐼_(𝑀𝐴𝑋 𝑜𝑟 𝑀𝐼𝑁)=(𝐼_𝑥+𝐼_𝑦)/2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±√(((𝐼_𝑥−𝐼_𝑦)/2)^2+𝐼_𝑥𝑦^2 )</a:t>
              </a:r>
              <a:endParaRPr lang="en-US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304800</xdr:colOff>
          <xdr:row>14</xdr:row>
          <xdr:rowOff>76200</xdr:rowOff>
        </xdr:from>
        <xdr:to>
          <xdr:col>20</xdr:col>
          <xdr:colOff>371475</xdr:colOff>
          <xdr:row>15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Animate Mohr's Circle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247650</xdr:colOff>
          <xdr:row>14</xdr:row>
          <xdr:rowOff>47625</xdr:rowOff>
        </xdr:from>
        <xdr:to>
          <xdr:col>23</xdr:col>
          <xdr:colOff>495300</xdr:colOff>
          <xdr:row>15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Step MC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285750</xdr:colOff>
          <xdr:row>17</xdr:row>
          <xdr:rowOff>76200</xdr:rowOff>
        </xdr:from>
        <xdr:to>
          <xdr:col>21</xdr:col>
          <xdr:colOff>447675</xdr:colOff>
          <xdr:row>18</xdr:row>
          <xdr:rowOff>200025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Animation and Step MC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3D923-099D-4471-8FE0-8EB3FC78708B}">
  <sheetPr codeName="Sheet1"/>
  <dimension ref="B2:L106"/>
  <sheetViews>
    <sheetView topLeftCell="A16" zoomScale="80" zoomScaleNormal="80" workbookViewId="0">
      <selection activeCell="L20" sqref="L20"/>
    </sheetView>
  </sheetViews>
  <sheetFormatPr defaultColWidth="8.85546875" defaultRowHeight="14.25"/>
  <cols>
    <col min="1" max="1" width="4.42578125" style="30" customWidth="1"/>
    <col min="2" max="2" width="12.140625" style="30" customWidth="1"/>
    <col min="3" max="3" width="12.7109375" style="30" customWidth="1"/>
    <col min="4" max="4" width="16.140625" style="30" customWidth="1"/>
    <col min="5" max="5" width="15.28515625" style="30" customWidth="1"/>
    <col min="6" max="6" width="13.7109375" style="30" customWidth="1"/>
    <col min="7" max="7" width="12.5703125" style="32" customWidth="1"/>
    <col min="8" max="8" width="6.42578125" style="32" customWidth="1"/>
    <col min="9" max="11" width="10.7109375" style="32" customWidth="1"/>
    <col min="12" max="12" width="10.7109375" style="36" customWidth="1"/>
    <col min="13" max="16" width="10.7109375" style="30" customWidth="1"/>
    <col min="17" max="23" width="9.5703125" style="30" customWidth="1"/>
    <col min="24" max="16384" width="8.85546875" style="30"/>
  </cols>
  <sheetData>
    <row r="2" spans="2:12" ht="18">
      <c r="B2" s="77" t="s">
        <v>0</v>
      </c>
    </row>
    <row r="3" spans="2:12" ht="24" customHeight="1">
      <c r="K3" s="9" t="s">
        <v>45</v>
      </c>
    </row>
    <row r="4" spans="2:12" ht="24" customHeight="1">
      <c r="B4" s="52" t="s">
        <v>1</v>
      </c>
      <c r="C4" s="53" t="s">
        <v>31</v>
      </c>
      <c r="D4" s="68">
        <v>2.9</v>
      </c>
      <c r="E4" s="63">
        <f>D6</f>
        <v>-3</v>
      </c>
      <c r="F4" s="78" t="s">
        <v>57</v>
      </c>
      <c r="I4" s="8" t="s">
        <v>12</v>
      </c>
      <c r="K4" s="37" t="s">
        <v>44</v>
      </c>
    </row>
    <row r="5" spans="2:12" ht="24" customHeight="1">
      <c r="B5" s="54"/>
      <c r="C5" s="53" t="s">
        <v>32</v>
      </c>
      <c r="D5" s="68">
        <v>5.6</v>
      </c>
      <c r="E5" s="63">
        <f>-D6</f>
        <v>3</v>
      </c>
      <c r="F5" s="78" t="s">
        <v>57</v>
      </c>
      <c r="K5" s="37" t="s">
        <v>14</v>
      </c>
      <c r="L5" s="38"/>
    </row>
    <row r="6" spans="2:12" ht="24" customHeight="1">
      <c r="B6" s="54"/>
      <c r="C6" s="53" t="s">
        <v>33</v>
      </c>
      <c r="D6" s="68">
        <v>-3</v>
      </c>
      <c r="E6" s="78" t="s">
        <v>57</v>
      </c>
      <c r="K6" s="37" t="s">
        <v>15</v>
      </c>
      <c r="L6" s="38"/>
    </row>
    <row r="7" spans="2:12" ht="8.4499999999999993" customHeight="1">
      <c r="B7" s="54"/>
      <c r="C7" s="54"/>
      <c r="K7" s="39"/>
      <c r="L7" s="38"/>
    </row>
    <row r="8" spans="2:12" ht="24" customHeight="1">
      <c r="B8" s="57"/>
      <c r="C8" s="65" t="s">
        <v>34</v>
      </c>
      <c r="D8" s="64">
        <v>20</v>
      </c>
      <c r="E8" s="66" t="s">
        <v>47</v>
      </c>
      <c r="F8" s="57"/>
      <c r="K8" s="37" t="s">
        <v>17</v>
      </c>
      <c r="L8" s="38"/>
    </row>
    <row r="9" spans="2:12" ht="24" customHeight="1">
      <c r="K9" s="37" t="s">
        <v>18</v>
      </c>
      <c r="L9" s="38"/>
    </row>
    <row r="10" spans="2:12" ht="23.45" customHeight="1">
      <c r="B10" s="49" t="s">
        <v>2</v>
      </c>
      <c r="C10" s="50"/>
      <c r="D10" s="55" t="s">
        <v>3</v>
      </c>
      <c r="E10" s="31">
        <f>(D4+D5)/2</f>
        <v>4.25</v>
      </c>
      <c r="F10" s="78" t="s">
        <v>57</v>
      </c>
    </row>
    <row r="11" spans="2:12" ht="23.45" customHeight="1">
      <c r="B11" s="50"/>
      <c r="C11" s="50"/>
      <c r="D11" s="55" t="s">
        <v>4</v>
      </c>
      <c r="E11" s="31">
        <f>(D4-D5)/2</f>
        <v>-1.3499999999999999</v>
      </c>
      <c r="F11" s="78" t="s">
        <v>57</v>
      </c>
    </row>
    <row r="12" spans="2:12" ht="23.45" customHeight="1">
      <c r="B12" s="50"/>
      <c r="C12" s="50"/>
      <c r="D12" s="51" t="s">
        <v>40</v>
      </c>
      <c r="E12" s="25">
        <f>D8+90</f>
        <v>110</v>
      </c>
    </row>
    <row r="13" spans="2:12" ht="15" customHeight="1"/>
    <row r="14" spans="2:12" ht="24" customHeight="1">
      <c r="B14" s="56" t="s">
        <v>22</v>
      </c>
      <c r="C14" s="57"/>
      <c r="D14" s="56" t="s">
        <v>46</v>
      </c>
      <c r="E14" s="57"/>
    </row>
    <row r="15" spans="2:12" ht="22.15" customHeight="1">
      <c r="C15" s="22" t="s">
        <v>29</v>
      </c>
      <c r="D15" s="69">
        <f>$E$10+$E$11*COS(2*RADIANS($D$8))-$D$6*SIN(2*RADIANS($D$8))</f>
        <v>5.1442028308489975</v>
      </c>
      <c r="E15" s="70">
        <f>D17</f>
        <v>-3.165896602433762</v>
      </c>
      <c r="F15" s="78" t="s">
        <v>57</v>
      </c>
    </row>
    <row r="16" spans="2:12" ht="22.15" customHeight="1">
      <c r="C16" s="22" t="s">
        <v>30</v>
      </c>
      <c r="D16" s="69">
        <f>$E$10-$E$11*COS(2*RADIANS($D$8))+$D$6*SIN(2*RADIANS($D$8))</f>
        <v>3.3557971691510029</v>
      </c>
      <c r="E16" s="70">
        <f>-D17</f>
        <v>3.165896602433762</v>
      </c>
      <c r="F16" s="78" t="s">
        <v>57</v>
      </c>
    </row>
    <row r="17" spans="2:12" ht="22.15" customHeight="1">
      <c r="C17" s="22" t="s">
        <v>26</v>
      </c>
      <c r="D17" s="70">
        <f>$E$11*SIN(2*RADIANS($D$8))+$D$6*COS(2*RADIANS($D$8))</f>
        <v>-3.165896602433762</v>
      </c>
      <c r="F17" s="78" t="s">
        <v>57</v>
      </c>
    </row>
    <row r="18" spans="2:12" ht="18" customHeight="1"/>
    <row r="19" spans="2:12" ht="18.600000000000001" customHeight="1">
      <c r="B19" s="58" t="s">
        <v>5</v>
      </c>
      <c r="C19" s="59"/>
      <c r="D19" s="61" t="s">
        <v>6</v>
      </c>
      <c r="E19" s="61" t="s">
        <v>3</v>
      </c>
      <c r="F19" s="69">
        <f>E10</f>
        <v>4.25</v>
      </c>
      <c r="G19" s="24">
        <v>0</v>
      </c>
    </row>
    <row r="20" spans="2:12" ht="18.600000000000001" customHeight="1">
      <c r="B20" s="59"/>
      <c r="C20" s="59"/>
      <c r="D20" s="61" t="s">
        <v>19</v>
      </c>
      <c r="E20" s="61"/>
      <c r="F20" s="69">
        <f>(E11^2+D6^2)^0.5</f>
        <v>3.2897568299191962</v>
      </c>
    </row>
    <row r="21" spans="2:12" ht="18.600000000000001" customHeight="1"/>
    <row r="22" spans="2:12" ht="18.600000000000001" customHeight="1">
      <c r="D22" s="60" t="s">
        <v>41</v>
      </c>
      <c r="E22" s="69">
        <f>F19+F20</f>
        <v>7.5397568299191962</v>
      </c>
      <c r="F22" s="24">
        <v>0</v>
      </c>
      <c r="G22" s="78" t="s">
        <v>57</v>
      </c>
    </row>
    <row r="23" spans="2:12" ht="18.600000000000001" customHeight="1">
      <c r="D23" s="60" t="s">
        <v>42</v>
      </c>
      <c r="E23" s="69">
        <f>F19-F20</f>
        <v>0.96024317008080384</v>
      </c>
      <c r="F23" s="24">
        <v>0</v>
      </c>
      <c r="G23" s="78" t="s">
        <v>57</v>
      </c>
    </row>
    <row r="24" spans="2:12" ht="18.600000000000001" customHeight="1">
      <c r="D24" s="62" t="s">
        <v>43</v>
      </c>
      <c r="E24" s="71">
        <f>0.5*ATAN(-D6/E11)*180/PI()</f>
        <v>-32.886127341022913</v>
      </c>
      <c r="I24" s="9" t="s">
        <v>16</v>
      </c>
    </row>
    <row r="25" spans="2:12" ht="18.600000000000001" customHeight="1">
      <c r="I25" s="40"/>
      <c r="J25" s="41" t="s">
        <v>11</v>
      </c>
      <c r="K25" s="42"/>
      <c r="L25" s="43"/>
    </row>
    <row r="26" spans="2:12" ht="15">
      <c r="I26" s="44" t="s">
        <v>10</v>
      </c>
      <c r="J26" s="45" t="s">
        <v>7</v>
      </c>
      <c r="K26" s="46" t="s">
        <v>8</v>
      </c>
      <c r="L26" s="45" t="s">
        <v>9</v>
      </c>
    </row>
    <row r="27" spans="2:12">
      <c r="I27" s="32">
        <v>1</v>
      </c>
      <c r="J27" s="32">
        <v>0</v>
      </c>
      <c r="K27" s="47">
        <f>E22</f>
        <v>7.5397568299191962</v>
      </c>
      <c r="L27" s="48">
        <v>0</v>
      </c>
    </row>
    <row r="28" spans="2:12">
      <c r="I28" s="32">
        <v>2</v>
      </c>
      <c r="J28" s="32">
        <v>5</v>
      </c>
      <c r="K28" s="47">
        <f>$F$19+$F$20*COS(RADIANS(J28))</f>
        <v>7.5272383119766113</v>
      </c>
      <c r="L28" s="48">
        <f>$F$20*SIN(RADIANS(J28))</f>
        <v>0.28672119997078888</v>
      </c>
    </row>
    <row r="29" spans="2:12">
      <c r="I29" s="32">
        <v>3</v>
      </c>
      <c r="J29" s="32">
        <v>10</v>
      </c>
      <c r="K29" s="47">
        <f t="shared" ref="K29:K92" si="0">$F$19+$F$20*COS(RADIANS(J29))</f>
        <v>7.4897780316292888</v>
      </c>
      <c r="L29" s="48">
        <f t="shared" ref="L29:L31" si="1">$F$20*SIN(RADIANS(J29))</f>
        <v>0.57126027848280603</v>
      </c>
    </row>
    <row r="30" spans="2:12">
      <c r="C30" s="1" t="s">
        <v>39</v>
      </c>
      <c r="D30" s="5">
        <v>5</v>
      </c>
      <c r="E30" s="1"/>
      <c r="F30" s="1"/>
      <c r="G30" s="3"/>
      <c r="I30" s="32">
        <v>4</v>
      </c>
      <c r="J30" s="32">
        <v>15</v>
      </c>
      <c r="K30" s="47">
        <f t="shared" si="0"/>
        <v>7.4276610842298059</v>
      </c>
      <c r="L30" s="48">
        <f t="shared" si="1"/>
        <v>0.85145172133918212</v>
      </c>
    </row>
    <row r="31" spans="2:12" ht="15">
      <c r="C31" s="9" t="s">
        <v>38</v>
      </c>
      <c r="D31" s="3"/>
      <c r="E31" s="3"/>
      <c r="F31" s="4"/>
      <c r="G31" s="3"/>
      <c r="I31" s="32">
        <v>5</v>
      </c>
      <c r="J31" s="32">
        <v>20</v>
      </c>
      <c r="K31" s="47">
        <f t="shared" si="0"/>
        <v>7.3413602172551116</v>
      </c>
      <c r="L31" s="48">
        <f t="shared" si="1"/>
        <v>1.1251631024755611</v>
      </c>
    </row>
    <row r="32" spans="2:12">
      <c r="C32" s="10"/>
      <c r="D32" s="12" t="s">
        <v>11</v>
      </c>
      <c r="E32" s="14"/>
      <c r="F32" s="16"/>
      <c r="G32" s="10"/>
      <c r="I32" s="32">
        <v>6</v>
      </c>
      <c r="J32" s="32">
        <v>25</v>
      </c>
      <c r="K32" s="47">
        <f t="shared" si="0"/>
        <v>7.2315322324127713</v>
      </c>
      <c r="L32" s="48">
        <f t="shared" ref="L32:L95" si="2">$F$20*SIN(RADIANS(J32))</f>
        <v>1.3903113130100444</v>
      </c>
    </row>
    <row r="33" spans="3:12" ht="17.25">
      <c r="C33" s="11" t="s">
        <v>10</v>
      </c>
      <c r="D33" s="13" t="s">
        <v>7</v>
      </c>
      <c r="E33" s="53" t="s">
        <v>48</v>
      </c>
      <c r="F33" s="72" t="s">
        <v>49</v>
      </c>
      <c r="G33" s="73" t="s">
        <v>50</v>
      </c>
      <c r="I33" s="32">
        <v>7</v>
      </c>
      <c r="J33" s="32">
        <v>30</v>
      </c>
      <c r="K33" s="47">
        <f t="shared" si="0"/>
        <v>7.0990129869833876</v>
      </c>
      <c r="L33" s="48">
        <f t="shared" si="2"/>
        <v>1.6448784149595979</v>
      </c>
    </row>
    <row r="34" spans="3:12">
      <c r="C34" s="5">
        <v>1</v>
      </c>
      <c r="D34" s="5">
        <v>0</v>
      </c>
      <c r="E34" s="31">
        <f>$E$10+$E$11*COS(2*RADIANS(D34))-$D$6*SIN(2*RADIANS(D34))</f>
        <v>2.9000000000000004</v>
      </c>
      <c r="F34" s="25">
        <f>$E$10-$E$11*COS(2*RADIANS(D34))+$D$6*SIN(2*RADIANS(D34))</f>
        <v>5.6</v>
      </c>
      <c r="G34" s="31">
        <f>$E$11*SIN(2*RADIANS(D34))+$D$6*COS(2*RADIANS(D34))</f>
        <v>-3</v>
      </c>
      <c r="I34" s="32">
        <v>8</v>
      </c>
      <c r="J34" s="32">
        <v>35</v>
      </c>
      <c r="K34" s="47">
        <f t="shared" si="0"/>
        <v>6.9448110324419829</v>
      </c>
      <c r="L34" s="48">
        <f t="shared" si="2"/>
        <v>1.8869269989665669</v>
      </c>
    </row>
    <row r="35" spans="3:12">
      <c r="C35" s="5">
        <v>2</v>
      </c>
      <c r="D35" s="5">
        <f>D34+$D$30</f>
        <v>5</v>
      </c>
      <c r="E35" s="31">
        <f>$E$10+$E$11*COS(2*RADIANS(D35))-$D$6*SIN(2*RADIANS(D35))</f>
        <v>3.4414540664343107</v>
      </c>
      <c r="F35" s="25">
        <f t="shared" ref="F35:F98" si="3">$E$10-$E$11*COS(2*RADIANS(D35))+$D$6*SIN(2*RADIANS(D35))</f>
        <v>5.0585459335656893</v>
      </c>
      <c r="G35" s="31">
        <f t="shared" ref="G35:G98" si="4">$E$11*SIN(2*RADIANS(D35))+$D$6*COS(2*RADIANS(D35))</f>
        <v>-3.1888482988869797</v>
      </c>
      <c r="I35" s="32">
        <v>9</v>
      </c>
      <c r="J35" s="32">
        <v>40</v>
      </c>
      <c r="K35" s="47">
        <f t="shared" si="0"/>
        <v>6.7700999387723044</v>
      </c>
      <c r="L35" s="48">
        <f t="shared" si="2"/>
        <v>2.1146149291537268</v>
      </c>
    </row>
    <row r="36" spans="3:12">
      <c r="C36" s="5">
        <v>3</v>
      </c>
      <c r="D36" s="5">
        <f t="shared" ref="D36:D99" si="5">D35+$D$30</f>
        <v>10</v>
      </c>
      <c r="E36" s="31">
        <f t="shared" ref="E36:E100" si="6">$E$10+$E$11*COS(2*RADIANS(D36))-$D$6*SIN(2*RADIANS(D36))</f>
        <v>4.0074753919160297</v>
      </c>
      <c r="F36" s="25">
        <f t="shared" si="3"/>
        <v>4.4925246080839703</v>
      </c>
      <c r="G36" s="31">
        <f t="shared" si="4"/>
        <v>-3.2808050558473782</v>
      </c>
      <c r="I36" s="32">
        <v>10</v>
      </c>
      <c r="J36" s="32">
        <v>45</v>
      </c>
      <c r="K36" s="47">
        <f t="shared" si="0"/>
        <v>6.5762093628906229</v>
      </c>
      <c r="L36" s="48">
        <f t="shared" si="2"/>
        <v>2.3262093628906229</v>
      </c>
    </row>
    <row r="37" spans="3:12">
      <c r="C37" s="5">
        <v>4</v>
      </c>
      <c r="D37" s="5">
        <f t="shared" si="5"/>
        <v>15</v>
      </c>
      <c r="E37" s="31">
        <f t="shared" si="6"/>
        <v>4.580865704891008</v>
      </c>
      <c r="F37" s="25">
        <f t="shared" si="3"/>
        <v>3.919134295108992</v>
      </c>
      <c r="G37" s="31">
        <f t="shared" si="4"/>
        <v>-3.2730762113533158</v>
      </c>
      <c r="I37" s="32">
        <v>11</v>
      </c>
      <c r="J37" s="32">
        <v>50</v>
      </c>
      <c r="K37" s="47">
        <f t="shared" si="0"/>
        <v>6.3646149291537277</v>
      </c>
      <c r="L37" s="48">
        <f t="shared" si="2"/>
        <v>2.5200999387723049</v>
      </c>
    </row>
    <row r="38" spans="3:12">
      <c r="C38" s="5">
        <v>5</v>
      </c>
      <c r="D38" s="5">
        <f t="shared" si="5"/>
        <v>20</v>
      </c>
      <c r="E38" s="31">
        <f t="shared" si="6"/>
        <v>5.1442028308489975</v>
      </c>
      <c r="F38" s="25">
        <f t="shared" si="3"/>
        <v>3.3557971691510029</v>
      </c>
      <c r="G38" s="31">
        <f t="shared" si="4"/>
        <v>-3.165896602433762</v>
      </c>
      <c r="I38" s="32">
        <v>12</v>
      </c>
      <c r="J38" s="32">
        <v>55</v>
      </c>
      <c r="K38" s="47">
        <f t="shared" si="0"/>
        <v>6.1369269989665671</v>
      </c>
      <c r="L38" s="48">
        <f t="shared" si="2"/>
        <v>2.6948110324419825</v>
      </c>
    </row>
    <row r="39" spans="3:12">
      <c r="C39" s="5">
        <v>6</v>
      </c>
      <c r="D39" s="5">
        <f t="shared" si="5"/>
        <v>25</v>
      </c>
      <c r="E39" s="31">
        <f t="shared" si="6"/>
        <v>5.6803700562801058</v>
      </c>
      <c r="F39" s="25">
        <f t="shared" si="3"/>
        <v>2.8196299437198937</v>
      </c>
      <c r="G39" s="31">
        <f t="shared" si="4"/>
        <v>-2.9625228272702384</v>
      </c>
      <c r="I39" s="32">
        <v>13</v>
      </c>
      <c r="J39" s="32">
        <v>60</v>
      </c>
      <c r="K39" s="47">
        <f t="shared" si="0"/>
        <v>5.8948784149595985</v>
      </c>
      <c r="L39" s="48">
        <f t="shared" si="2"/>
        <v>2.8490129869833867</v>
      </c>
    </row>
    <row r="40" spans="3:12">
      <c r="C40" s="5">
        <v>7</v>
      </c>
      <c r="D40" s="5">
        <f t="shared" si="5"/>
        <v>30</v>
      </c>
      <c r="E40" s="31">
        <f t="shared" si="6"/>
        <v>6.1730762113533162</v>
      </c>
      <c r="F40" s="25">
        <f t="shared" si="3"/>
        <v>2.3269237886466838</v>
      </c>
      <c r="G40" s="31">
        <f t="shared" si="4"/>
        <v>-2.6691342951089925</v>
      </c>
      <c r="I40" s="32">
        <v>14</v>
      </c>
      <c r="J40" s="32">
        <v>65</v>
      </c>
      <c r="K40" s="47">
        <f t="shared" si="0"/>
        <v>5.6403113130100442</v>
      </c>
      <c r="L40" s="48">
        <f t="shared" si="2"/>
        <v>2.9815322324127713</v>
      </c>
    </row>
    <row r="41" spans="3:12">
      <c r="C41" s="5">
        <v>8</v>
      </c>
      <c r="D41" s="5">
        <f t="shared" si="5"/>
        <v>35</v>
      </c>
      <c r="E41" s="31">
        <f t="shared" si="6"/>
        <v>6.6073506688680723</v>
      </c>
      <c r="F41" s="25">
        <f t="shared" si="3"/>
        <v>1.8926493311319277</v>
      </c>
      <c r="G41" s="31">
        <f t="shared" si="4"/>
        <v>-2.2946454680379826</v>
      </c>
      <c r="I41" s="32">
        <v>15</v>
      </c>
      <c r="J41" s="32">
        <v>70</v>
      </c>
      <c r="K41" s="47">
        <f t="shared" si="0"/>
        <v>5.3751631024755611</v>
      </c>
      <c r="L41" s="48">
        <f t="shared" si="2"/>
        <v>3.0913602172551111</v>
      </c>
    </row>
    <row r="42" spans="3:12">
      <c r="C42" s="5">
        <v>9</v>
      </c>
      <c r="D42" s="5">
        <f t="shared" si="5"/>
        <v>40</v>
      </c>
      <c r="E42" s="31">
        <f t="shared" si="6"/>
        <v>6.9699982191862677</v>
      </c>
      <c r="F42" s="25">
        <f t="shared" si="3"/>
        <v>1.5300017808137318</v>
      </c>
      <c r="G42" s="31">
        <f t="shared" si="4"/>
        <v>-1.850434999567272</v>
      </c>
      <c r="I42" s="32">
        <v>16</v>
      </c>
      <c r="J42" s="32">
        <v>75</v>
      </c>
      <c r="K42" s="47">
        <f t="shared" si="0"/>
        <v>5.1014517213391821</v>
      </c>
      <c r="L42" s="48">
        <f t="shared" si="2"/>
        <v>3.1776610842298054</v>
      </c>
    </row>
    <row r="43" spans="3:12">
      <c r="C43" s="5">
        <v>10</v>
      </c>
      <c r="D43" s="5">
        <f t="shared" si="5"/>
        <v>45</v>
      </c>
      <c r="E43" s="31">
        <f t="shared" si="6"/>
        <v>7.25</v>
      </c>
      <c r="F43" s="25">
        <f t="shared" si="3"/>
        <v>1.25</v>
      </c>
      <c r="G43" s="31">
        <f t="shared" si="4"/>
        <v>-1.35</v>
      </c>
      <c r="I43" s="32">
        <v>17</v>
      </c>
      <c r="J43" s="32">
        <v>80</v>
      </c>
      <c r="K43" s="47">
        <f t="shared" si="0"/>
        <v>4.8212602784828062</v>
      </c>
      <c r="L43" s="48">
        <f t="shared" si="2"/>
        <v>3.2397780316292883</v>
      </c>
    </row>
    <row r="44" spans="3:12">
      <c r="C44" s="5">
        <v>11</v>
      </c>
      <c r="D44" s="5">
        <f t="shared" si="5"/>
        <v>50</v>
      </c>
      <c r="E44" s="31">
        <f t="shared" si="6"/>
        <v>7.4388482988869793</v>
      </c>
      <c r="F44" s="25">
        <f t="shared" si="3"/>
        <v>1.0611517011130203</v>
      </c>
      <c r="G44" s="31">
        <f t="shared" si="4"/>
        <v>-0.80854593356568971</v>
      </c>
      <c r="I44" s="32">
        <v>18</v>
      </c>
      <c r="J44" s="32">
        <v>85</v>
      </c>
      <c r="K44" s="47">
        <f t="shared" si="0"/>
        <v>4.5367211999707884</v>
      </c>
      <c r="L44" s="48">
        <f t="shared" si="2"/>
        <v>3.2772383119766113</v>
      </c>
    </row>
    <row r="45" spans="3:12">
      <c r="C45" s="5">
        <v>12</v>
      </c>
      <c r="D45" s="5">
        <f t="shared" si="5"/>
        <v>55</v>
      </c>
      <c r="E45" s="31">
        <f t="shared" si="6"/>
        <v>7.5308050558473774</v>
      </c>
      <c r="F45" s="25">
        <f t="shared" si="3"/>
        <v>0.9691949441526222</v>
      </c>
      <c r="G45" s="31">
        <f t="shared" si="4"/>
        <v>-0.24252460808397003</v>
      </c>
      <c r="I45" s="32">
        <v>19</v>
      </c>
      <c r="J45" s="32">
        <v>90</v>
      </c>
      <c r="K45" s="47">
        <f t="shared" si="0"/>
        <v>4.25</v>
      </c>
      <c r="L45" s="48">
        <f t="shared" si="2"/>
        <v>3.2897568299191962</v>
      </c>
    </row>
    <row r="46" spans="3:12">
      <c r="C46" s="5">
        <v>13</v>
      </c>
      <c r="D46" s="5">
        <f t="shared" si="5"/>
        <v>60</v>
      </c>
      <c r="E46" s="31">
        <f t="shared" si="6"/>
        <v>7.5230762113533158</v>
      </c>
      <c r="F46" s="25">
        <f t="shared" si="3"/>
        <v>0.97692378864668417</v>
      </c>
      <c r="G46" s="31">
        <f t="shared" si="4"/>
        <v>0.33086570489100708</v>
      </c>
      <c r="I46" s="32">
        <v>20</v>
      </c>
      <c r="J46" s="32">
        <v>95</v>
      </c>
      <c r="K46" s="47">
        <f t="shared" si="0"/>
        <v>3.9632788000292107</v>
      </c>
      <c r="L46" s="48">
        <f t="shared" si="2"/>
        <v>3.2772383119766113</v>
      </c>
    </row>
    <row r="47" spans="3:12">
      <c r="C47" s="5">
        <v>14</v>
      </c>
      <c r="D47" s="5">
        <f t="shared" si="5"/>
        <v>65</v>
      </c>
      <c r="E47" s="31">
        <f t="shared" si="6"/>
        <v>7.4158966024337616</v>
      </c>
      <c r="F47" s="25">
        <f t="shared" si="3"/>
        <v>1.084103397566238</v>
      </c>
      <c r="G47" s="31">
        <f t="shared" si="4"/>
        <v>0.89420283084899799</v>
      </c>
      <c r="I47" s="32">
        <v>21</v>
      </c>
      <c r="J47" s="32">
        <v>100</v>
      </c>
      <c r="K47" s="47">
        <f t="shared" si="0"/>
        <v>3.6787397215171938</v>
      </c>
      <c r="L47" s="48">
        <f t="shared" si="2"/>
        <v>3.2397780316292883</v>
      </c>
    </row>
    <row r="48" spans="3:12">
      <c r="C48" s="5">
        <v>15</v>
      </c>
      <c r="D48" s="5">
        <f t="shared" si="5"/>
        <v>70</v>
      </c>
      <c r="E48" s="31">
        <f t="shared" si="6"/>
        <v>7.212522827270238</v>
      </c>
      <c r="F48" s="25">
        <f t="shared" si="3"/>
        <v>1.2874771727297618</v>
      </c>
      <c r="G48" s="31">
        <f t="shared" si="4"/>
        <v>1.4303700562801054</v>
      </c>
      <c r="I48" s="32">
        <v>22</v>
      </c>
      <c r="J48" s="32">
        <v>105</v>
      </c>
      <c r="K48" s="47">
        <f t="shared" si="0"/>
        <v>3.3985482786608174</v>
      </c>
      <c r="L48" s="48">
        <f t="shared" si="2"/>
        <v>3.1776610842298054</v>
      </c>
    </row>
    <row r="49" spans="3:12">
      <c r="C49" s="5">
        <v>16</v>
      </c>
      <c r="D49" s="5">
        <f t="shared" si="5"/>
        <v>75</v>
      </c>
      <c r="E49" s="31">
        <f t="shared" si="6"/>
        <v>6.919134295108992</v>
      </c>
      <c r="F49" s="25">
        <f t="shared" si="3"/>
        <v>1.5808657048910082</v>
      </c>
      <c r="G49" s="31">
        <f t="shared" si="4"/>
        <v>1.9230762113533162</v>
      </c>
      <c r="I49" s="32">
        <v>23</v>
      </c>
      <c r="J49" s="32">
        <v>110</v>
      </c>
      <c r="K49" s="47">
        <f t="shared" si="0"/>
        <v>3.1248368975244389</v>
      </c>
      <c r="L49" s="48">
        <f t="shared" si="2"/>
        <v>3.0913602172551116</v>
      </c>
    </row>
    <row r="50" spans="3:12">
      <c r="C50" s="5">
        <v>17</v>
      </c>
      <c r="D50" s="5">
        <f t="shared" si="5"/>
        <v>80</v>
      </c>
      <c r="E50" s="31">
        <f t="shared" si="6"/>
        <v>6.5446454680379826</v>
      </c>
      <c r="F50" s="25">
        <f t="shared" si="3"/>
        <v>1.9553545319620174</v>
      </c>
      <c r="G50" s="31">
        <f t="shared" si="4"/>
        <v>2.3573506688680719</v>
      </c>
      <c r="I50" s="32">
        <v>24</v>
      </c>
      <c r="J50" s="32">
        <v>115</v>
      </c>
      <c r="K50" s="47">
        <f t="shared" si="0"/>
        <v>2.8596886869899558</v>
      </c>
      <c r="L50" s="48">
        <f t="shared" si="2"/>
        <v>2.9815322324127718</v>
      </c>
    </row>
    <row r="51" spans="3:12">
      <c r="C51" s="5">
        <v>18</v>
      </c>
      <c r="D51" s="5">
        <f t="shared" si="5"/>
        <v>85</v>
      </c>
      <c r="E51" s="31">
        <f t="shared" si="6"/>
        <v>6.1004349995672715</v>
      </c>
      <c r="F51" s="25">
        <f t="shared" si="3"/>
        <v>2.3995650004327289</v>
      </c>
      <c r="G51" s="31">
        <f t="shared" si="4"/>
        <v>2.7199982191862682</v>
      </c>
      <c r="I51" s="32">
        <v>25</v>
      </c>
      <c r="J51" s="32">
        <v>120</v>
      </c>
      <c r="K51" s="47">
        <f t="shared" si="0"/>
        <v>2.6051215850404024</v>
      </c>
      <c r="L51" s="48">
        <f t="shared" si="2"/>
        <v>2.8490129869833871</v>
      </c>
    </row>
    <row r="52" spans="3:12">
      <c r="C52" s="5">
        <v>19</v>
      </c>
      <c r="D52" s="5">
        <f t="shared" si="5"/>
        <v>90</v>
      </c>
      <c r="E52" s="31">
        <f t="shared" si="6"/>
        <v>5.6</v>
      </c>
      <c r="F52" s="25">
        <f t="shared" si="3"/>
        <v>2.9</v>
      </c>
      <c r="G52" s="31">
        <f t="shared" si="4"/>
        <v>3</v>
      </c>
      <c r="I52" s="32">
        <v>26</v>
      </c>
      <c r="J52" s="32">
        <v>125</v>
      </c>
      <c r="K52" s="47">
        <f t="shared" si="0"/>
        <v>2.3630730010334329</v>
      </c>
      <c r="L52" s="48">
        <f t="shared" si="2"/>
        <v>2.6948110324419821</v>
      </c>
    </row>
    <row r="53" spans="3:12">
      <c r="C53" s="5">
        <v>20</v>
      </c>
      <c r="D53" s="5">
        <f t="shared" si="5"/>
        <v>95</v>
      </c>
      <c r="E53" s="31">
        <f t="shared" si="6"/>
        <v>5.0585459335656893</v>
      </c>
      <c r="F53" s="25">
        <f t="shared" si="3"/>
        <v>3.4414540664343107</v>
      </c>
      <c r="G53" s="31">
        <f t="shared" si="4"/>
        <v>3.1888482988869802</v>
      </c>
      <c r="I53" s="32">
        <v>27</v>
      </c>
      <c r="J53" s="32">
        <v>130</v>
      </c>
      <c r="K53" s="47">
        <f t="shared" si="0"/>
        <v>2.1353850708462727</v>
      </c>
      <c r="L53" s="48">
        <f t="shared" si="2"/>
        <v>2.5200999387723049</v>
      </c>
    </row>
    <row r="54" spans="3:12">
      <c r="C54" s="5">
        <v>21</v>
      </c>
      <c r="D54" s="5">
        <f t="shared" si="5"/>
        <v>100</v>
      </c>
      <c r="E54" s="31">
        <f t="shared" si="6"/>
        <v>4.4925246080839703</v>
      </c>
      <c r="F54" s="25">
        <f t="shared" si="3"/>
        <v>4.0074753919160297</v>
      </c>
      <c r="G54" s="31">
        <f t="shared" si="4"/>
        <v>3.2808050558473778</v>
      </c>
      <c r="I54" s="32">
        <v>28</v>
      </c>
      <c r="J54" s="32">
        <v>135</v>
      </c>
      <c r="K54" s="47">
        <f t="shared" si="0"/>
        <v>1.9237906371093771</v>
      </c>
      <c r="L54" s="48">
        <f t="shared" si="2"/>
        <v>2.3262093628906233</v>
      </c>
    </row>
    <row r="55" spans="3:12">
      <c r="C55" s="5">
        <v>22</v>
      </c>
      <c r="D55" s="5">
        <f t="shared" si="5"/>
        <v>105</v>
      </c>
      <c r="E55" s="31">
        <f t="shared" si="6"/>
        <v>3.9191342951089916</v>
      </c>
      <c r="F55" s="25">
        <f t="shared" si="3"/>
        <v>4.5808657048910089</v>
      </c>
      <c r="G55" s="31">
        <f t="shared" si="4"/>
        <v>3.2730762113533158</v>
      </c>
      <c r="I55" s="32">
        <v>29</v>
      </c>
      <c r="J55" s="32">
        <v>140</v>
      </c>
      <c r="K55" s="47">
        <f t="shared" si="0"/>
        <v>1.7299000612276951</v>
      </c>
      <c r="L55" s="48">
        <f t="shared" si="2"/>
        <v>2.1146149291537277</v>
      </c>
    </row>
    <row r="56" spans="3:12">
      <c r="C56" s="5">
        <v>23</v>
      </c>
      <c r="D56" s="5">
        <f t="shared" si="5"/>
        <v>110</v>
      </c>
      <c r="E56" s="31">
        <f t="shared" si="6"/>
        <v>3.3557971691510029</v>
      </c>
      <c r="F56" s="25">
        <f t="shared" si="3"/>
        <v>5.1442028308489975</v>
      </c>
      <c r="G56" s="31">
        <f t="shared" si="4"/>
        <v>3.165896602433762</v>
      </c>
      <c r="I56" s="32">
        <v>30</v>
      </c>
      <c r="J56" s="32">
        <v>145</v>
      </c>
      <c r="K56" s="47">
        <f t="shared" si="0"/>
        <v>1.5551889675580171</v>
      </c>
      <c r="L56" s="48">
        <f t="shared" si="2"/>
        <v>1.8869269989665665</v>
      </c>
    </row>
    <row r="57" spans="3:12">
      <c r="C57" s="5">
        <v>24</v>
      </c>
      <c r="D57" s="5">
        <f t="shared" si="5"/>
        <v>115</v>
      </c>
      <c r="E57" s="31">
        <f t="shared" si="6"/>
        <v>2.8196299437198942</v>
      </c>
      <c r="F57" s="25">
        <f t="shared" si="3"/>
        <v>5.6803700562801058</v>
      </c>
      <c r="G57" s="31">
        <f t="shared" si="4"/>
        <v>2.9625228272702384</v>
      </c>
      <c r="I57" s="32">
        <v>31</v>
      </c>
      <c r="J57" s="32">
        <v>150</v>
      </c>
      <c r="K57" s="47">
        <f t="shared" si="0"/>
        <v>1.4009870130166129</v>
      </c>
      <c r="L57" s="48">
        <f t="shared" si="2"/>
        <v>1.6448784149595979</v>
      </c>
    </row>
    <row r="58" spans="3:12">
      <c r="C58" s="5">
        <v>25</v>
      </c>
      <c r="D58" s="5">
        <f t="shared" si="5"/>
        <v>120</v>
      </c>
      <c r="E58" s="31">
        <f t="shared" si="6"/>
        <v>2.3269237886466856</v>
      </c>
      <c r="F58" s="25">
        <f t="shared" si="3"/>
        <v>6.1730762113533144</v>
      </c>
      <c r="G58" s="31">
        <f t="shared" si="4"/>
        <v>2.6691342951089929</v>
      </c>
      <c r="I58" s="32">
        <v>32</v>
      </c>
      <c r="J58" s="32">
        <v>155</v>
      </c>
      <c r="K58" s="47">
        <f t="shared" si="0"/>
        <v>1.2684677675872287</v>
      </c>
      <c r="L58" s="48">
        <f t="shared" si="2"/>
        <v>1.3903113130100446</v>
      </c>
    </row>
    <row r="59" spans="3:12">
      <c r="C59" s="5">
        <v>26</v>
      </c>
      <c r="D59" s="5">
        <f t="shared" si="5"/>
        <v>125</v>
      </c>
      <c r="E59" s="31">
        <f t="shared" si="6"/>
        <v>1.8926493311319272</v>
      </c>
      <c r="F59" s="25">
        <f t="shared" si="3"/>
        <v>6.6073506688680723</v>
      </c>
      <c r="G59" s="31">
        <f t="shared" si="4"/>
        <v>2.2946454680379818</v>
      </c>
      <c r="I59" s="32">
        <v>33</v>
      </c>
      <c r="J59" s="32">
        <v>160</v>
      </c>
      <c r="K59" s="47">
        <f t="shared" si="0"/>
        <v>1.1586397827448889</v>
      </c>
      <c r="L59" s="48">
        <f t="shared" si="2"/>
        <v>1.1251631024755615</v>
      </c>
    </row>
    <row r="60" spans="3:12">
      <c r="C60" s="5">
        <v>27</v>
      </c>
      <c r="D60" s="5">
        <f t="shared" si="5"/>
        <v>130</v>
      </c>
      <c r="E60" s="31">
        <f t="shared" si="6"/>
        <v>1.5300017808137318</v>
      </c>
      <c r="F60" s="25">
        <f t="shared" si="3"/>
        <v>6.9699982191862677</v>
      </c>
      <c r="G60" s="31">
        <f t="shared" si="4"/>
        <v>1.8504349995672715</v>
      </c>
      <c r="I60" s="32">
        <v>34</v>
      </c>
      <c r="J60" s="32">
        <v>165</v>
      </c>
      <c r="K60" s="47">
        <f t="shared" si="0"/>
        <v>1.072338915770195</v>
      </c>
      <c r="L60" s="48">
        <f t="shared" si="2"/>
        <v>0.85145172133918301</v>
      </c>
    </row>
    <row r="61" spans="3:12">
      <c r="C61" s="5">
        <v>28</v>
      </c>
      <c r="D61" s="5">
        <f t="shared" si="5"/>
        <v>135</v>
      </c>
      <c r="E61" s="31">
        <f t="shared" si="6"/>
        <v>1.25</v>
      </c>
      <c r="F61" s="25">
        <f t="shared" si="3"/>
        <v>7.25</v>
      </c>
      <c r="G61" s="31">
        <f t="shared" si="4"/>
        <v>1.3500000000000003</v>
      </c>
      <c r="I61" s="32">
        <v>35</v>
      </c>
      <c r="J61" s="32">
        <v>170</v>
      </c>
      <c r="K61" s="47">
        <f t="shared" si="0"/>
        <v>1.0102219683707117</v>
      </c>
      <c r="L61" s="48">
        <f t="shared" si="2"/>
        <v>0.57126027848280592</v>
      </c>
    </row>
    <row r="62" spans="3:12">
      <c r="C62" s="5">
        <v>29</v>
      </c>
      <c r="D62" s="5">
        <f t="shared" si="5"/>
        <v>140</v>
      </c>
      <c r="E62" s="31">
        <f t="shared" si="6"/>
        <v>1.0611517011130198</v>
      </c>
      <c r="F62" s="25">
        <f t="shared" si="3"/>
        <v>7.4388482988869802</v>
      </c>
      <c r="G62" s="31">
        <f t="shared" si="4"/>
        <v>0.80854593356569093</v>
      </c>
      <c r="I62" s="32">
        <v>36</v>
      </c>
      <c r="J62" s="32">
        <v>175</v>
      </c>
      <c r="K62" s="47">
        <f t="shared" si="0"/>
        <v>0.97276168802338869</v>
      </c>
      <c r="L62" s="48">
        <f t="shared" si="2"/>
        <v>0.28672119997078899</v>
      </c>
    </row>
    <row r="63" spans="3:12">
      <c r="C63" s="5">
        <v>30</v>
      </c>
      <c r="D63" s="5">
        <f t="shared" si="5"/>
        <v>145</v>
      </c>
      <c r="E63" s="31">
        <f t="shared" si="6"/>
        <v>0.9691949441526222</v>
      </c>
      <c r="F63" s="25">
        <f t="shared" si="3"/>
        <v>7.5308050558473782</v>
      </c>
      <c r="G63" s="31">
        <f t="shared" si="4"/>
        <v>0.24252460808396892</v>
      </c>
      <c r="I63" s="32">
        <v>37</v>
      </c>
      <c r="J63" s="32">
        <v>180</v>
      </c>
      <c r="K63" s="47">
        <f t="shared" si="0"/>
        <v>0.96024317008080384</v>
      </c>
      <c r="L63" s="48">
        <f t="shared" si="2"/>
        <v>4.0304404972005831E-16</v>
      </c>
    </row>
    <row r="64" spans="3:12">
      <c r="C64" s="5">
        <v>31</v>
      </c>
      <c r="D64" s="5">
        <f t="shared" si="5"/>
        <v>150</v>
      </c>
      <c r="E64" s="31">
        <f t="shared" si="6"/>
        <v>0.97692378864668417</v>
      </c>
      <c r="F64" s="25">
        <f t="shared" si="3"/>
        <v>7.5230762113533158</v>
      </c>
      <c r="G64" s="31">
        <f t="shared" si="4"/>
        <v>-0.33086570489100842</v>
      </c>
      <c r="I64" s="32">
        <v>38</v>
      </c>
      <c r="J64" s="32">
        <v>185</v>
      </c>
      <c r="K64" s="47">
        <f t="shared" si="0"/>
        <v>0.97276168802338869</v>
      </c>
      <c r="L64" s="48">
        <f t="shared" si="2"/>
        <v>-0.28672119997078815</v>
      </c>
    </row>
    <row r="65" spans="3:12">
      <c r="C65" s="5">
        <v>32</v>
      </c>
      <c r="D65" s="5">
        <f t="shared" si="5"/>
        <v>155</v>
      </c>
      <c r="E65" s="31">
        <f t="shared" si="6"/>
        <v>1.0841033975662375</v>
      </c>
      <c r="F65" s="25">
        <f t="shared" si="3"/>
        <v>7.4158966024337625</v>
      </c>
      <c r="G65" s="31">
        <f t="shared" si="4"/>
        <v>-0.89420283084899732</v>
      </c>
      <c r="I65" s="32">
        <v>39</v>
      </c>
      <c r="J65" s="32">
        <v>190</v>
      </c>
      <c r="K65" s="47">
        <f t="shared" si="0"/>
        <v>1.0102219683707117</v>
      </c>
      <c r="L65" s="48">
        <f t="shared" si="2"/>
        <v>-0.57126027848280658</v>
      </c>
    </row>
    <row r="66" spans="3:12">
      <c r="C66" s="5">
        <v>33</v>
      </c>
      <c r="D66" s="5">
        <f t="shared" si="5"/>
        <v>160</v>
      </c>
      <c r="E66" s="31">
        <f t="shared" si="6"/>
        <v>1.2874771727297616</v>
      </c>
      <c r="F66" s="25">
        <f t="shared" si="3"/>
        <v>7.212522827270238</v>
      </c>
      <c r="G66" s="31">
        <f t="shared" si="4"/>
        <v>-1.4303700562801049</v>
      </c>
      <c r="I66" s="32">
        <v>40</v>
      </c>
      <c r="J66" s="32">
        <v>195</v>
      </c>
      <c r="K66" s="47">
        <f t="shared" si="0"/>
        <v>1.0723389157701946</v>
      </c>
      <c r="L66" s="48">
        <f t="shared" si="2"/>
        <v>-0.85145172133918223</v>
      </c>
    </row>
    <row r="67" spans="3:12">
      <c r="C67" s="5">
        <v>34</v>
      </c>
      <c r="D67" s="5">
        <f t="shared" si="5"/>
        <v>165</v>
      </c>
      <c r="E67" s="31">
        <f t="shared" si="6"/>
        <v>1.5808657048910071</v>
      </c>
      <c r="F67" s="25">
        <f t="shared" si="3"/>
        <v>6.9191342951089929</v>
      </c>
      <c r="G67" s="31">
        <f t="shared" si="4"/>
        <v>-1.9230762113533146</v>
      </c>
      <c r="I67" s="32">
        <v>41</v>
      </c>
      <c r="J67" s="32">
        <v>200</v>
      </c>
      <c r="K67" s="47">
        <f t="shared" si="0"/>
        <v>1.1586397827448884</v>
      </c>
      <c r="L67" s="48">
        <f t="shared" si="2"/>
        <v>-1.1251631024755608</v>
      </c>
    </row>
    <row r="68" spans="3:12">
      <c r="C68" s="5">
        <v>35</v>
      </c>
      <c r="D68" s="5">
        <f t="shared" si="5"/>
        <v>170</v>
      </c>
      <c r="E68" s="31">
        <f t="shared" si="6"/>
        <v>1.9553545319620178</v>
      </c>
      <c r="F68" s="25">
        <f t="shared" si="3"/>
        <v>6.5446454680379826</v>
      </c>
      <c r="G68" s="31">
        <f t="shared" si="4"/>
        <v>-2.3573506688680728</v>
      </c>
      <c r="I68" s="32">
        <v>42</v>
      </c>
      <c r="J68" s="32">
        <v>205</v>
      </c>
      <c r="K68" s="47">
        <f t="shared" si="0"/>
        <v>1.2684677675872282</v>
      </c>
      <c r="L68" s="48">
        <f t="shared" si="2"/>
        <v>-1.390311313010044</v>
      </c>
    </row>
    <row r="69" spans="3:12">
      <c r="C69" s="5">
        <v>36</v>
      </c>
      <c r="D69" s="5">
        <f t="shared" si="5"/>
        <v>175</v>
      </c>
      <c r="E69" s="31">
        <f t="shared" si="6"/>
        <v>2.3995650004327285</v>
      </c>
      <c r="F69" s="25">
        <f t="shared" si="3"/>
        <v>6.1004349995672715</v>
      </c>
      <c r="G69" s="31">
        <f t="shared" si="4"/>
        <v>-2.7199982191862677</v>
      </c>
      <c r="I69" s="32">
        <v>43</v>
      </c>
      <c r="J69" s="32">
        <v>210</v>
      </c>
      <c r="K69" s="47">
        <f t="shared" si="0"/>
        <v>1.4009870130166133</v>
      </c>
      <c r="L69" s="48">
        <f t="shared" si="2"/>
        <v>-1.6448784149595985</v>
      </c>
    </row>
    <row r="70" spans="3:12">
      <c r="C70" s="5">
        <v>37</v>
      </c>
      <c r="D70" s="5">
        <f t="shared" si="5"/>
        <v>180</v>
      </c>
      <c r="E70" s="31">
        <f t="shared" si="6"/>
        <v>2.8999999999999995</v>
      </c>
      <c r="F70" s="25">
        <f t="shared" si="3"/>
        <v>5.6000000000000005</v>
      </c>
      <c r="G70" s="31">
        <f t="shared" si="4"/>
        <v>-2.9999999999999996</v>
      </c>
      <c r="I70" s="32">
        <v>44</v>
      </c>
      <c r="J70" s="32">
        <v>215</v>
      </c>
      <c r="K70" s="47">
        <f t="shared" si="0"/>
        <v>1.5551889675580175</v>
      </c>
      <c r="L70" s="48">
        <f t="shared" si="2"/>
        <v>-1.8869269989665671</v>
      </c>
    </row>
    <row r="71" spans="3:12">
      <c r="C71" s="5">
        <v>38</v>
      </c>
      <c r="D71" s="5">
        <f t="shared" si="5"/>
        <v>185</v>
      </c>
      <c r="E71" s="31">
        <f t="shared" si="6"/>
        <v>3.441454066434309</v>
      </c>
      <c r="F71" s="25">
        <f t="shared" si="3"/>
        <v>5.058545933565691</v>
      </c>
      <c r="G71" s="31">
        <f t="shared" si="4"/>
        <v>-3.1888482988869797</v>
      </c>
      <c r="I71" s="32">
        <v>45</v>
      </c>
      <c r="J71" s="32">
        <v>220</v>
      </c>
      <c r="K71" s="47">
        <f t="shared" si="0"/>
        <v>1.7299000612276951</v>
      </c>
      <c r="L71" s="48">
        <f t="shared" si="2"/>
        <v>-2.1146149291537268</v>
      </c>
    </row>
    <row r="72" spans="3:12">
      <c r="C72" s="5">
        <v>39</v>
      </c>
      <c r="D72" s="5">
        <f t="shared" si="5"/>
        <v>190</v>
      </c>
      <c r="E72" s="31">
        <f t="shared" si="6"/>
        <v>4.0074753919160306</v>
      </c>
      <c r="F72" s="25">
        <f t="shared" si="3"/>
        <v>4.4925246080839694</v>
      </c>
      <c r="G72" s="31">
        <f t="shared" si="4"/>
        <v>-3.2808050558473778</v>
      </c>
      <c r="I72" s="32">
        <v>46</v>
      </c>
      <c r="J72" s="32">
        <v>225</v>
      </c>
      <c r="K72" s="47">
        <f t="shared" si="0"/>
        <v>1.9237906371093763</v>
      </c>
      <c r="L72" s="48">
        <f t="shared" si="2"/>
        <v>-2.3262093628906229</v>
      </c>
    </row>
    <row r="73" spans="3:12">
      <c r="C73" s="5">
        <v>40</v>
      </c>
      <c r="D73" s="5">
        <f t="shared" si="5"/>
        <v>195</v>
      </c>
      <c r="E73" s="31">
        <f t="shared" si="6"/>
        <v>4.580865704891008</v>
      </c>
      <c r="F73" s="25">
        <f t="shared" si="3"/>
        <v>3.919134295108992</v>
      </c>
      <c r="G73" s="31">
        <f t="shared" si="4"/>
        <v>-3.2730762113533158</v>
      </c>
      <c r="I73" s="32">
        <v>47</v>
      </c>
      <c r="J73" s="32">
        <v>230</v>
      </c>
      <c r="K73" s="47">
        <f t="shared" si="0"/>
        <v>2.1353850708462723</v>
      </c>
      <c r="L73" s="48">
        <f t="shared" si="2"/>
        <v>-2.5200999387723049</v>
      </c>
    </row>
    <row r="74" spans="3:12">
      <c r="C74" s="5">
        <v>41</v>
      </c>
      <c r="D74" s="5">
        <f t="shared" si="5"/>
        <v>200</v>
      </c>
      <c r="E74" s="31">
        <f t="shared" si="6"/>
        <v>5.1442028308489967</v>
      </c>
      <c r="F74" s="25">
        <f t="shared" si="3"/>
        <v>3.3557971691510033</v>
      </c>
      <c r="G74" s="31">
        <f t="shared" si="4"/>
        <v>-3.1658966024337625</v>
      </c>
      <c r="I74" s="32">
        <v>48</v>
      </c>
      <c r="J74" s="32">
        <v>235</v>
      </c>
      <c r="K74" s="47">
        <f t="shared" si="0"/>
        <v>2.363073001033432</v>
      </c>
      <c r="L74" s="48">
        <f t="shared" si="2"/>
        <v>-2.6948110324419821</v>
      </c>
    </row>
    <row r="75" spans="3:12">
      <c r="C75" s="5">
        <v>42</v>
      </c>
      <c r="D75" s="5">
        <f t="shared" si="5"/>
        <v>205</v>
      </c>
      <c r="E75" s="31">
        <f t="shared" si="6"/>
        <v>5.6803700562801049</v>
      </c>
      <c r="F75" s="25">
        <f t="shared" si="3"/>
        <v>2.8196299437198955</v>
      </c>
      <c r="G75" s="31">
        <f t="shared" si="4"/>
        <v>-2.9625228272702389</v>
      </c>
      <c r="I75" s="32">
        <v>49</v>
      </c>
      <c r="J75" s="32">
        <v>240</v>
      </c>
      <c r="K75" s="47">
        <f t="shared" si="0"/>
        <v>2.6051215850404006</v>
      </c>
      <c r="L75" s="48">
        <f t="shared" si="2"/>
        <v>-2.8490129869833858</v>
      </c>
    </row>
    <row r="76" spans="3:12">
      <c r="C76" s="5">
        <v>43</v>
      </c>
      <c r="D76" s="5">
        <f t="shared" si="5"/>
        <v>210</v>
      </c>
      <c r="E76" s="31">
        <f t="shared" si="6"/>
        <v>6.1730762113533171</v>
      </c>
      <c r="F76" s="25">
        <f t="shared" si="3"/>
        <v>2.3269237886466834</v>
      </c>
      <c r="G76" s="31">
        <f t="shared" si="4"/>
        <v>-2.6691342951089911</v>
      </c>
      <c r="I76" s="32">
        <v>50</v>
      </c>
      <c r="J76" s="32">
        <v>245</v>
      </c>
      <c r="K76" s="47">
        <f t="shared" si="0"/>
        <v>2.8596886869899567</v>
      </c>
      <c r="L76" s="48">
        <f t="shared" si="2"/>
        <v>-2.9815322324127718</v>
      </c>
    </row>
    <row r="77" spans="3:12">
      <c r="C77" s="5">
        <v>44</v>
      </c>
      <c r="D77" s="5">
        <f t="shared" si="5"/>
        <v>215</v>
      </c>
      <c r="E77" s="31">
        <f t="shared" si="6"/>
        <v>6.6073506688680723</v>
      </c>
      <c r="F77" s="25">
        <f t="shared" si="3"/>
        <v>1.8926493311319272</v>
      </c>
      <c r="G77" s="31">
        <f t="shared" si="4"/>
        <v>-2.2946454680379822</v>
      </c>
      <c r="I77" s="32">
        <v>51</v>
      </c>
      <c r="J77" s="32">
        <v>250</v>
      </c>
      <c r="K77" s="47">
        <f t="shared" si="0"/>
        <v>3.1248368975244398</v>
      </c>
      <c r="L77" s="48">
        <f t="shared" si="2"/>
        <v>-3.0913602172551116</v>
      </c>
    </row>
    <row r="78" spans="3:12">
      <c r="C78" s="5">
        <v>45</v>
      </c>
      <c r="D78" s="5">
        <f t="shared" si="5"/>
        <v>220</v>
      </c>
      <c r="E78" s="31">
        <f t="shared" si="6"/>
        <v>6.9699982191862677</v>
      </c>
      <c r="F78" s="25">
        <f t="shared" si="3"/>
        <v>1.5300017808137318</v>
      </c>
      <c r="G78" s="31">
        <f t="shared" si="4"/>
        <v>-1.850434999567272</v>
      </c>
      <c r="I78" s="32">
        <v>52</v>
      </c>
      <c r="J78" s="32">
        <v>255</v>
      </c>
      <c r="K78" s="47">
        <f t="shared" si="0"/>
        <v>3.3985482786608183</v>
      </c>
      <c r="L78" s="48">
        <f t="shared" si="2"/>
        <v>-3.1776610842298054</v>
      </c>
    </row>
    <row r="79" spans="3:12">
      <c r="C79" s="5">
        <v>46</v>
      </c>
      <c r="D79" s="5">
        <f t="shared" si="5"/>
        <v>225</v>
      </c>
      <c r="E79" s="31">
        <f t="shared" si="6"/>
        <v>7.25</v>
      </c>
      <c r="F79" s="25">
        <f t="shared" si="3"/>
        <v>1.25</v>
      </c>
      <c r="G79" s="31">
        <f t="shared" si="4"/>
        <v>-1.3500000000000008</v>
      </c>
      <c r="I79" s="32">
        <v>53</v>
      </c>
      <c r="J79" s="32">
        <v>260</v>
      </c>
      <c r="K79" s="47">
        <f t="shared" si="0"/>
        <v>3.6787397215171938</v>
      </c>
      <c r="L79" s="48">
        <f t="shared" si="2"/>
        <v>-3.2397780316292883</v>
      </c>
    </row>
    <row r="80" spans="3:12">
      <c r="C80" s="5">
        <v>47</v>
      </c>
      <c r="D80" s="5">
        <f t="shared" si="5"/>
        <v>230</v>
      </c>
      <c r="E80" s="31">
        <f t="shared" si="6"/>
        <v>7.4388482988869793</v>
      </c>
      <c r="F80" s="25">
        <f t="shared" si="3"/>
        <v>1.0611517011130207</v>
      </c>
      <c r="G80" s="31">
        <f t="shared" si="4"/>
        <v>-0.80854593356569127</v>
      </c>
      <c r="I80" s="32">
        <v>54</v>
      </c>
      <c r="J80" s="32">
        <v>265</v>
      </c>
      <c r="K80" s="47">
        <f t="shared" si="0"/>
        <v>3.9632788000292107</v>
      </c>
      <c r="L80" s="48">
        <f t="shared" si="2"/>
        <v>-3.2772383119766113</v>
      </c>
    </row>
    <row r="81" spans="3:12">
      <c r="C81" s="5">
        <v>48</v>
      </c>
      <c r="D81" s="5">
        <f t="shared" si="5"/>
        <v>235</v>
      </c>
      <c r="E81" s="31">
        <f t="shared" si="6"/>
        <v>7.5308050558473774</v>
      </c>
      <c r="F81" s="25">
        <f t="shared" si="3"/>
        <v>0.96919494415262264</v>
      </c>
      <c r="G81" s="31">
        <f t="shared" si="4"/>
        <v>-0.24252460808397225</v>
      </c>
      <c r="I81" s="32">
        <v>55</v>
      </c>
      <c r="J81" s="32">
        <v>270</v>
      </c>
      <c r="K81" s="47">
        <f t="shared" si="0"/>
        <v>4.2499999999999991</v>
      </c>
      <c r="L81" s="48">
        <f t="shared" si="2"/>
        <v>-3.2897568299191962</v>
      </c>
    </row>
    <row r="82" spans="3:12">
      <c r="C82" s="5">
        <v>49</v>
      </c>
      <c r="D82" s="5">
        <f t="shared" si="5"/>
        <v>240</v>
      </c>
      <c r="E82" s="31">
        <f t="shared" si="6"/>
        <v>7.5230762113533167</v>
      </c>
      <c r="F82" s="25">
        <f t="shared" si="3"/>
        <v>0.97692378864668372</v>
      </c>
      <c r="G82" s="31">
        <f t="shared" si="4"/>
        <v>0.33086570489100509</v>
      </c>
      <c r="I82" s="32">
        <v>56</v>
      </c>
      <c r="J82" s="32">
        <v>275</v>
      </c>
      <c r="K82" s="47">
        <f t="shared" si="0"/>
        <v>4.5367211999707884</v>
      </c>
      <c r="L82" s="48">
        <f t="shared" si="2"/>
        <v>-3.2772383119766113</v>
      </c>
    </row>
    <row r="83" spans="3:12">
      <c r="C83" s="5">
        <v>50</v>
      </c>
      <c r="D83" s="5">
        <f t="shared" si="5"/>
        <v>245</v>
      </c>
      <c r="E83" s="31">
        <f t="shared" si="6"/>
        <v>7.4158966024337616</v>
      </c>
      <c r="F83" s="25">
        <f t="shared" si="3"/>
        <v>1.0841033975662384</v>
      </c>
      <c r="G83" s="31">
        <f t="shared" si="4"/>
        <v>0.89420283084899999</v>
      </c>
      <c r="I83" s="32">
        <v>57</v>
      </c>
      <c r="J83" s="32">
        <v>280</v>
      </c>
      <c r="K83" s="47">
        <f t="shared" si="0"/>
        <v>4.8212602784828054</v>
      </c>
      <c r="L83" s="48">
        <f t="shared" si="2"/>
        <v>-3.2397780316292883</v>
      </c>
    </row>
    <row r="84" spans="3:12">
      <c r="C84" s="5">
        <v>51</v>
      </c>
      <c r="D84" s="5">
        <f t="shared" si="5"/>
        <v>250</v>
      </c>
      <c r="E84" s="31">
        <f t="shared" si="6"/>
        <v>7.212522827270238</v>
      </c>
      <c r="F84" s="25">
        <f t="shared" si="3"/>
        <v>1.2874771727297623</v>
      </c>
      <c r="G84" s="31">
        <f t="shared" si="4"/>
        <v>1.4303700562801074</v>
      </c>
      <c r="I84" s="32">
        <v>58</v>
      </c>
      <c r="J84" s="32">
        <v>285</v>
      </c>
      <c r="K84" s="47">
        <f t="shared" si="0"/>
        <v>5.1014517213391803</v>
      </c>
      <c r="L84" s="48">
        <f t="shared" si="2"/>
        <v>-3.1776610842298059</v>
      </c>
    </row>
    <row r="85" spans="3:12">
      <c r="C85" s="5">
        <v>52</v>
      </c>
      <c r="D85" s="5">
        <f t="shared" si="5"/>
        <v>255</v>
      </c>
      <c r="E85" s="31">
        <f t="shared" si="6"/>
        <v>6.9191342951089911</v>
      </c>
      <c r="F85" s="25">
        <f t="shared" si="3"/>
        <v>1.5808657048910086</v>
      </c>
      <c r="G85" s="31">
        <f t="shared" si="4"/>
        <v>1.9230762113533169</v>
      </c>
      <c r="I85" s="32">
        <v>59</v>
      </c>
      <c r="J85" s="32">
        <v>290</v>
      </c>
      <c r="K85" s="47">
        <f t="shared" si="0"/>
        <v>5.3751631024755619</v>
      </c>
      <c r="L85" s="48">
        <f t="shared" si="2"/>
        <v>-3.0913602172551111</v>
      </c>
    </row>
    <row r="86" spans="3:12">
      <c r="C86" s="5">
        <v>53</v>
      </c>
      <c r="D86" s="5">
        <f t="shared" si="5"/>
        <v>260</v>
      </c>
      <c r="E86" s="31">
        <f t="shared" si="6"/>
        <v>6.5446454680379826</v>
      </c>
      <c r="F86" s="25">
        <f t="shared" si="3"/>
        <v>1.9553545319620174</v>
      </c>
      <c r="G86" s="31">
        <f t="shared" si="4"/>
        <v>2.3573506688680723</v>
      </c>
      <c r="I86" s="32">
        <v>60</v>
      </c>
      <c r="J86" s="32">
        <v>295</v>
      </c>
      <c r="K86" s="47">
        <f t="shared" si="0"/>
        <v>5.6403113130100451</v>
      </c>
      <c r="L86" s="48">
        <f t="shared" si="2"/>
        <v>-2.9815322324127713</v>
      </c>
    </row>
    <row r="87" spans="3:12">
      <c r="C87" s="5">
        <v>54</v>
      </c>
      <c r="D87" s="5">
        <f t="shared" si="5"/>
        <v>265</v>
      </c>
      <c r="E87" s="31">
        <f t="shared" si="6"/>
        <v>6.1004349995672715</v>
      </c>
      <c r="F87" s="25">
        <f t="shared" si="3"/>
        <v>2.399565000432728</v>
      </c>
      <c r="G87" s="31">
        <f t="shared" si="4"/>
        <v>2.7199982191862677</v>
      </c>
      <c r="I87" s="32">
        <v>61</v>
      </c>
      <c r="J87" s="32">
        <v>300</v>
      </c>
      <c r="K87" s="47">
        <f t="shared" si="0"/>
        <v>5.8948784149595985</v>
      </c>
      <c r="L87" s="48">
        <f t="shared" si="2"/>
        <v>-2.8490129869833867</v>
      </c>
    </row>
    <row r="88" spans="3:12">
      <c r="C88" s="5">
        <v>55</v>
      </c>
      <c r="D88" s="5">
        <f t="shared" si="5"/>
        <v>270</v>
      </c>
      <c r="E88" s="31">
        <f t="shared" si="6"/>
        <v>5.6000000000000005</v>
      </c>
      <c r="F88" s="25">
        <f t="shared" si="3"/>
        <v>2.8999999999999995</v>
      </c>
      <c r="G88" s="31">
        <f t="shared" si="4"/>
        <v>2.9999999999999996</v>
      </c>
      <c r="I88" s="32">
        <v>62</v>
      </c>
      <c r="J88" s="32">
        <v>305</v>
      </c>
      <c r="K88" s="47">
        <f t="shared" si="0"/>
        <v>6.1369269989665671</v>
      </c>
      <c r="L88" s="48">
        <f t="shared" si="2"/>
        <v>-2.6948110324419825</v>
      </c>
    </row>
    <row r="89" spans="3:12">
      <c r="C89" s="5">
        <v>56</v>
      </c>
      <c r="D89" s="5">
        <f t="shared" si="5"/>
        <v>275</v>
      </c>
      <c r="E89" s="31">
        <f t="shared" si="6"/>
        <v>5.0585459335656919</v>
      </c>
      <c r="F89" s="25">
        <f t="shared" si="3"/>
        <v>3.4414540664343085</v>
      </c>
      <c r="G89" s="31">
        <f t="shared" si="4"/>
        <v>3.1888482988869797</v>
      </c>
      <c r="I89" s="32">
        <v>63</v>
      </c>
      <c r="J89" s="32">
        <v>310</v>
      </c>
      <c r="K89" s="47">
        <f t="shared" si="0"/>
        <v>6.3646149291537268</v>
      </c>
      <c r="L89" s="48">
        <f t="shared" si="2"/>
        <v>-2.5200999387723053</v>
      </c>
    </row>
    <row r="90" spans="3:12">
      <c r="C90" s="5">
        <v>57</v>
      </c>
      <c r="D90" s="5">
        <f t="shared" si="5"/>
        <v>280</v>
      </c>
      <c r="E90" s="31">
        <f t="shared" si="6"/>
        <v>4.492524608083972</v>
      </c>
      <c r="F90" s="25">
        <f t="shared" si="3"/>
        <v>4.007475391916028</v>
      </c>
      <c r="G90" s="31">
        <f t="shared" si="4"/>
        <v>3.2808050558473774</v>
      </c>
      <c r="I90" s="32">
        <v>64</v>
      </c>
      <c r="J90" s="32">
        <v>315</v>
      </c>
      <c r="K90" s="47">
        <f t="shared" si="0"/>
        <v>6.5762093628906229</v>
      </c>
      <c r="L90" s="48">
        <f t="shared" si="2"/>
        <v>-2.3262093628906237</v>
      </c>
    </row>
    <row r="91" spans="3:12">
      <c r="C91" s="5">
        <v>58</v>
      </c>
      <c r="D91" s="5">
        <f t="shared" si="5"/>
        <v>285</v>
      </c>
      <c r="E91" s="31">
        <f t="shared" si="6"/>
        <v>3.9191342951089956</v>
      </c>
      <c r="F91" s="25">
        <f t="shared" si="3"/>
        <v>4.5808657048910044</v>
      </c>
      <c r="G91" s="31">
        <f t="shared" si="4"/>
        <v>3.2730762113533163</v>
      </c>
      <c r="I91" s="32">
        <v>65</v>
      </c>
      <c r="J91" s="32">
        <v>320</v>
      </c>
      <c r="K91" s="47">
        <f t="shared" si="0"/>
        <v>6.7700999387723044</v>
      </c>
      <c r="L91" s="48">
        <f t="shared" si="2"/>
        <v>-2.1146149291537282</v>
      </c>
    </row>
    <row r="92" spans="3:12">
      <c r="C92" s="5">
        <v>59</v>
      </c>
      <c r="D92" s="5">
        <f t="shared" si="5"/>
        <v>290</v>
      </c>
      <c r="E92" s="31">
        <f t="shared" si="6"/>
        <v>3.3557971691510002</v>
      </c>
      <c r="F92" s="25">
        <f t="shared" si="3"/>
        <v>5.1442028308490002</v>
      </c>
      <c r="G92" s="31">
        <f t="shared" si="4"/>
        <v>3.1658966024337616</v>
      </c>
      <c r="I92" s="32">
        <v>66</v>
      </c>
      <c r="J92" s="32">
        <v>325</v>
      </c>
      <c r="K92" s="47">
        <f t="shared" si="0"/>
        <v>6.9448110324419821</v>
      </c>
      <c r="L92" s="48">
        <f t="shared" si="2"/>
        <v>-1.8869269989665682</v>
      </c>
    </row>
    <row r="93" spans="3:12">
      <c r="C93" s="5">
        <v>60</v>
      </c>
      <c r="D93" s="5">
        <f t="shared" si="5"/>
        <v>295</v>
      </c>
      <c r="E93" s="31">
        <f t="shared" si="6"/>
        <v>2.8196299437198933</v>
      </c>
      <c r="F93" s="25">
        <f t="shared" si="3"/>
        <v>5.6803700562801067</v>
      </c>
      <c r="G93" s="31">
        <f t="shared" si="4"/>
        <v>2.9625228272702375</v>
      </c>
      <c r="I93" s="32">
        <v>67</v>
      </c>
      <c r="J93" s="32">
        <v>330</v>
      </c>
      <c r="K93" s="47">
        <f t="shared" ref="K93:K98" si="7">$F$19+$F$20*COS(RADIANS(J93))</f>
        <v>7.0990129869833858</v>
      </c>
      <c r="L93" s="48">
        <f t="shared" si="2"/>
        <v>-1.6448784149595996</v>
      </c>
    </row>
    <row r="94" spans="3:12">
      <c r="C94" s="5">
        <v>61</v>
      </c>
      <c r="D94" s="5">
        <f t="shared" si="5"/>
        <v>300</v>
      </c>
      <c r="E94" s="31">
        <f t="shared" si="6"/>
        <v>2.3269237886466838</v>
      </c>
      <c r="F94" s="25">
        <f t="shared" si="3"/>
        <v>6.1730762113533162</v>
      </c>
      <c r="G94" s="31">
        <f t="shared" si="4"/>
        <v>2.669134295108992</v>
      </c>
      <c r="I94" s="32">
        <v>68</v>
      </c>
      <c r="J94" s="32">
        <v>335</v>
      </c>
      <c r="K94" s="47">
        <f t="shared" si="7"/>
        <v>7.2315322324127713</v>
      </c>
      <c r="L94" s="48">
        <f t="shared" si="2"/>
        <v>-1.3903113130100437</v>
      </c>
    </row>
    <row r="95" spans="3:12">
      <c r="C95" s="5">
        <v>62</v>
      </c>
      <c r="D95" s="5">
        <f t="shared" si="5"/>
        <v>305</v>
      </c>
      <c r="E95" s="31">
        <f t="shared" si="6"/>
        <v>1.8926493311319272</v>
      </c>
      <c r="F95" s="25">
        <f t="shared" si="3"/>
        <v>6.6073506688680723</v>
      </c>
      <c r="G95" s="31">
        <f t="shared" si="4"/>
        <v>2.2946454680379826</v>
      </c>
      <c r="I95" s="32">
        <v>69</v>
      </c>
      <c r="J95" s="32">
        <v>340</v>
      </c>
      <c r="K95" s="47">
        <f t="shared" si="7"/>
        <v>7.3413602172551116</v>
      </c>
      <c r="L95" s="48">
        <f t="shared" si="2"/>
        <v>-1.1251631024755606</v>
      </c>
    </row>
    <row r="96" spans="3:12">
      <c r="C96" s="5">
        <v>63</v>
      </c>
      <c r="D96" s="5">
        <f t="shared" si="5"/>
        <v>310</v>
      </c>
      <c r="E96" s="31">
        <f t="shared" si="6"/>
        <v>1.5300017808137327</v>
      </c>
      <c r="F96" s="25">
        <f t="shared" si="3"/>
        <v>6.9699982191862677</v>
      </c>
      <c r="G96" s="31">
        <f t="shared" si="4"/>
        <v>1.8504349995672724</v>
      </c>
      <c r="I96" s="32">
        <v>70</v>
      </c>
      <c r="J96" s="32">
        <v>345</v>
      </c>
      <c r="K96" s="47">
        <f t="shared" si="7"/>
        <v>7.4276610842298059</v>
      </c>
      <c r="L96" s="48">
        <f t="shared" ref="L96:L98" si="8">$F$20*SIN(RADIANS(J96))</f>
        <v>-0.8514517213391819</v>
      </c>
    </row>
    <row r="97" spans="3:12">
      <c r="C97" s="5">
        <v>64</v>
      </c>
      <c r="D97" s="5">
        <f t="shared" si="5"/>
        <v>315</v>
      </c>
      <c r="E97" s="31">
        <f t="shared" si="6"/>
        <v>1.2500000000000009</v>
      </c>
      <c r="F97" s="25">
        <f t="shared" si="3"/>
        <v>7.2499999999999991</v>
      </c>
      <c r="G97" s="31">
        <f t="shared" si="4"/>
        <v>1.3500000000000012</v>
      </c>
      <c r="I97" s="32">
        <v>71</v>
      </c>
      <c r="J97" s="32">
        <v>350</v>
      </c>
      <c r="K97" s="47">
        <f t="shared" si="7"/>
        <v>7.4897780316292888</v>
      </c>
      <c r="L97" s="48">
        <f t="shared" si="8"/>
        <v>-0.57126027848280625</v>
      </c>
    </row>
    <row r="98" spans="3:12">
      <c r="C98" s="5">
        <v>65</v>
      </c>
      <c r="D98" s="5">
        <f t="shared" si="5"/>
        <v>320</v>
      </c>
      <c r="E98" s="31">
        <f t="shared" si="6"/>
        <v>1.0611517011130207</v>
      </c>
      <c r="F98" s="25">
        <f t="shared" si="3"/>
        <v>7.4388482988869793</v>
      </c>
      <c r="G98" s="31">
        <f t="shared" si="4"/>
        <v>0.80854593356569171</v>
      </c>
      <c r="I98" s="32">
        <v>72</v>
      </c>
      <c r="J98" s="32">
        <v>355</v>
      </c>
      <c r="K98" s="47">
        <f t="shared" si="7"/>
        <v>7.5272383119766113</v>
      </c>
      <c r="L98" s="48">
        <f t="shared" si="8"/>
        <v>-0.28672119997078938</v>
      </c>
    </row>
    <row r="99" spans="3:12">
      <c r="C99" s="5">
        <v>66</v>
      </c>
      <c r="D99" s="5">
        <f t="shared" si="5"/>
        <v>325</v>
      </c>
      <c r="E99" s="31">
        <f t="shared" si="6"/>
        <v>0.96919494415262264</v>
      </c>
      <c r="F99" s="25">
        <f t="shared" ref="F99:F106" si="9">$E$10-$E$11*COS(2*RADIANS(D99))+$D$6*SIN(2*RADIANS(D99))</f>
        <v>7.5308050558473774</v>
      </c>
      <c r="G99" s="31">
        <f t="shared" ref="G99:G106" si="10">$E$11*SIN(2*RADIANS(D99))+$D$6*COS(2*RADIANS(D99))</f>
        <v>0.24252460808397269</v>
      </c>
      <c r="I99" s="32">
        <v>73</v>
      </c>
      <c r="J99" s="32">
        <v>360</v>
      </c>
      <c r="K99" s="47">
        <f>$F$19+$F$20*COS(RADIANS(J99))</f>
        <v>7.5397568299191962</v>
      </c>
      <c r="L99" s="48">
        <f>$F$20*SIN(RADIANS(J99))</f>
        <v>-8.0608809944011662E-16</v>
      </c>
    </row>
    <row r="100" spans="3:12">
      <c r="C100" s="5">
        <v>67</v>
      </c>
      <c r="D100" s="5">
        <f t="shared" ref="D100:D106" si="11">D99+$D$30</f>
        <v>330</v>
      </c>
      <c r="E100" s="31">
        <f t="shared" si="6"/>
        <v>0.97692378864668372</v>
      </c>
      <c r="F100" s="25">
        <f t="shared" si="9"/>
        <v>7.5230762113533167</v>
      </c>
      <c r="G100" s="31">
        <f t="shared" si="10"/>
        <v>-0.33086570489100464</v>
      </c>
    </row>
    <row r="101" spans="3:12">
      <c r="C101" s="5">
        <v>68</v>
      </c>
      <c r="D101" s="5">
        <f t="shared" si="11"/>
        <v>335</v>
      </c>
      <c r="E101" s="31">
        <f t="shared" ref="E101:E106" si="12">$E$10+$E$11*COS(2*RADIANS(D101))-$D$6*SIN(2*RADIANS(D101))</f>
        <v>1.0841033975662384</v>
      </c>
      <c r="F101" s="25">
        <f t="shared" si="9"/>
        <v>7.4158966024337616</v>
      </c>
      <c r="G101" s="31">
        <f t="shared" si="10"/>
        <v>-0.89420283084899932</v>
      </c>
    </row>
    <row r="102" spans="3:12">
      <c r="C102" s="5">
        <v>69</v>
      </c>
      <c r="D102" s="5">
        <f t="shared" si="11"/>
        <v>340</v>
      </c>
      <c r="E102" s="31">
        <f t="shared" si="12"/>
        <v>1.2874771727297623</v>
      </c>
      <c r="F102" s="25">
        <f t="shared" si="9"/>
        <v>7.212522827270238</v>
      </c>
      <c r="G102" s="31">
        <f t="shared" si="10"/>
        <v>-1.4303700562801069</v>
      </c>
    </row>
    <row r="103" spans="3:12">
      <c r="C103" s="5">
        <v>70</v>
      </c>
      <c r="D103" s="5">
        <f t="shared" si="11"/>
        <v>345</v>
      </c>
      <c r="E103" s="31">
        <f t="shared" si="12"/>
        <v>1.5808657048910084</v>
      </c>
      <c r="F103" s="25">
        <f t="shared" si="9"/>
        <v>6.9191342951089911</v>
      </c>
      <c r="G103" s="31">
        <f t="shared" si="10"/>
        <v>-1.9230762113533162</v>
      </c>
    </row>
    <row r="104" spans="3:12">
      <c r="C104" s="5">
        <v>71</v>
      </c>
      <c r="D104" s="5">
        <f t="shared" si="11"/>
        <v>350</v>
      </c>
      <c r="E104" s="31">
        <f t="shared" si="12"/>
        <v>1.9553545319620176</v>
      </c>
      <c r="F104" s="25">
        <f t="shared" si="9"/>
        <v>6.5446454680379826</v>
      </c>
      <c r="G104" s="31">
        <f t="shared" si="10"/>
        <v>-2.3573506688680719</v>
      </c>
    </row>
    <row r="105" spans="3:12">
      <c r="C105" s="5">
        <v>72</v>
      </c>
      <c r="D105" s="5">
        <f t="shared" si="11"/>
        <v>355</v>
      </c>
      <c r="E105" s="31">
        <f t="shared" si="12"/>
        <v>2.3995650004327276</v>
      </c>
      <c r="F105" s="25">
        <f t="shared" si="9"/>
        <v>6.1004349995672724</v>
      </c>
      <c r="G105" s="31">
        <f t="shared" si="10"/>
        <v>-2.7199982191862677</v>
      </c>
    </row>
    <row r="106" spans="3:12">
      <c r="C106" s="5">
        <v>73</v>
      </c>
      <c r="D106" s="5">
        <f t="shared" si="11"/>
        <v>360</v>
      </c>
      <c r="E106" s="31">
        <f t="shared" si="12"/>
        <v>2.899999999999999</v>
      </c>
      <c r="F106" s="25">
        <f t="shared" si="9"/>
        <v>5.6000000000000014</v>
      </c>
      <c r="G106" s="31">
        <f t="shared" si="10"/>
        <v>-2.9999999999999996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77577-6276-47DE-A06E-2730E71F3978}">
  <sheetPr codeName="Sheet4"/>
  <dimension ref="B2:V99"/>
  <sheetViews>
    <sheetView tabSelected="1" zoomScale="80" zoomScaleNormal="80" workbookViewId="0">
      <selection activeCell="X7" sqref="X7"/>
    </sheetView>
  </sheetViews>
  <sheetFormatPr defaultColWidth="8.85546875" defaultRowHeight="12.75"/>
  <cols>
    <col min="1" max="1" width="4.42578125" style="1" customWidth="1"/>
    <col min="2" max="2" width="12.140625" style="1" customWidth="1"/>
    <col min="3" max="3" width="12" style="1" customWidth="1"/>
    <col min="4" max="4" width="14.85546875" style="1" customWidth="1"/>
    <col min="5" max="5" width="15.28515625" style="1" customWidth="1"/>
    <col min="6" max="6" width="13.7109375" style="1" customWidth="1"/>
    <col min="7" max="8" width="6.42578125" style="3" customWidth="1"/>
    <col min="9" max="11" width="10.7109375" style="3" customWidth="1"/>
    <col min="12" max="12" width="10.7109375" style="4" customWidth="1"/>
    <col min="13" max="14" width="10.7109375" style="1" customWidth="1"/>
    <col min="15" max="15" width="13" style="1" customWidth="1"/>
    <col min="16" max="16" width="10.7109375" style="1" customWidth="1"/>
    <col min="17" max="17" width="9.5703125" style="1" customWidth="1"/>
    <col min="18" max="18" width="13.5703125" style="1" customWidth="1"/>
    <col min="19" max="23" width="9.5703125" style="1" customWidth="1"/>
    <col min="24" max="16384" width="8.85546875" style="1"/>
  </cols>
  <sheetData>
    <row r="2" spans="2:22" ht="18">
      <c r="B2" s="77" t="s">
        <v>0</v>
      </c>
    </row>
    <row r="3" spans="2:22" ht="15.75">
      <c r="N3" s="20" t="s">
        <v>20</v>
      </c>
      <c r="O3" s="21"/>
      <c r="P3" s="21"/>
      <c r="Q3" s="21"/>
      <c r="S3" s="20" t="s">
        <v>21</v>
      </c>
      <c r="T3" s="21"/>
      <c r="U3" s="21"/>
      <c r="V3" s="21"/>
    </row>
    <row r="4" spans="2:22" ht="21.6" customHeight="1">
      <c r="B4" s="52" t="s">
        <v>1</v>
      </c>
      <c r="C4" s="53" t="s">
        <v>31</v>
      </c>
      <c r="D4" s="63">
        <v>3</v>
      </c>
      <c r="E4" s="63">
        <f>D6</f>
        <v>2</v>
      </c>
      <c r="F4" s="78" t="s">
        <v>57</v>
      </c>
      <c r="I4" s="8" t="s">
        <v>12</v>
      </c>
      <c r="K4" s="9" t="s">
        <v>13</v>
      </c>
    </row>
    <row r="5" spans="2:22" ht="21.6" customHeight="1">
      <c r="B5" s="79"/>
      <c r="C5" s="53" t="s">
        <v>32</v>
      </c>
      <c r="D5" s="63">
        <v>5</v>
      </c>
      <c r="E5" s="63">
        <f>-D6</f>
        <v>-2</v>
      </c>
      <c r="F5" s="78" t="s">
        <v>57</v>
      </c>
      <c r="K5" s="19" t="s">
        <v>14</v>
      </c>
      <c r="L5" s="17"/>
    </row>
    <row r="6" spans="2:22" ht="21.6" customHeight="1">
      <c r="B6" s="79"/>
      <c r="C6" s="53" t="s">
        <v>33</v>
      </c>
      <c r="D6" s="63">
        <v>2</v>
      </c>
      <c r="E6" s="78" t="s">
        <v>57</v>
      </c>
      <c r="K6" s="19" t="s">
        <v>15</v>
      </c>
      <c r="L6" s="17"/>
    </row>
    <row r="7" spans="2:22" ht="23.45" customHeight="1">
      <c r="C7" s="30"/>
      <c r="D7" s="30"/>
      <c r="E7" s="30"/>
      <c r="K7" s="18"/>
      <c r="L7" s="17"/>
    </row>
    <row r="8" spans="2:22" ht="23.45" customHeight="1">
      <c r="B8" s="57"/>
      <c r="C8" s="65" t="s">
        <v>34</v>
      </c>
      <c r="D8" s="64">
        <v>50</v>
      </c>
      <c r="E8" s="66" t="s">
        <v>47</v>
      </c>
      <c r="F8" s="57"/>
      <c r="K8" s="19" t="s">
        <v>17</v>
      </c>
      <c r="L8" s="17"/>
    </row>
    <row r="9" spans="2:22" ht="23.45" customHeight="1">
      <c r="K9" s="19" t="s">
        <v>18</v>
      </c>
      <c r="L9" s="17"/>
    </row>
    <row r="10" spans="2:22" ht="23.45" customHeight="1">
      <c r="B10" s="49" t="s">
        <v>2</v>
      </c>
      <c r="C10" s="50"/>
      <c r="D10" s="55" t="s">
        <v>3</v>
      </c>
      <c r="E10" s="31">
        <f>(D4+D5)/2</f>
        <v>4</v>
      </c>
      <c r="F10" s="78" t="s">
        <v>57</v>
      </c>
    </row>
    <row r="11" spans="2:22" ht="23.45" customHeight="1">
      <c r="B11" s="50"/>
      <c r="C11" s="50"/>
      <c r="D11" s="55" t="s">
        <v>4</v>
      </c>
      <c r="E11" s="31">
        <f>(D4-D5)/2</f>
        <v>-1</v>
      </c>
      <c r="F11" s="78" t="s">
        <v>57</v>
      </c>
    </row>
    <row r="12" spans="2:22" ht="23.45" customHeight="1">
      <c r="B12" s="50"/>
      <c r="C12" s="50"/>
      <c r="D12" s="51" t="s">
        <v>40</v>
      </c>
      <c r="E12" s="25">
        <f>D8+90</f>
        <v>140</v>
      </c>
    </row>
    <row r="13" spans="2:22" ht="15" customHeight="1">
      <c r="E13" s="30"/>
      <c r="G13" s="27"/>
      <c r="H13" s="27"/>
      <c r="I13" s="33" t="s">
        <v>35</v>
      </c>
      <c r="J13" s="27"/>
      <c r="K13" s="27"/>
      <c r="L13" s="29"/>
      <c r="M13" s="21"/>
      <c r="O13" s="75" t="s">
        <v>54</v>
      </c>
      <c r="P13" s="21"/>
      <c r="R13" s="21"/>
      <c r="S13" s="21"/>
      <c r="T13" s="76" t="s">
        <v>55</v>
      </c>
      <c r="U13" s="5">
        <v>10</v>
      </c>
    </row>
    <row r="14" spans="2:22" ht="21" customHeight="1">
      <c r="B14" s="56" t="s">
        <v>22</v>
      </c>
      <c r="C14" s="57"/>
      <c r="D14" s="56" t="s">
        <v>46</v>
      </c>
      <c r="E14" s="57"/>
      <c r="G14" s="26" t="s">
        <v>22</v>
      </c>
      <c r="H14" s="21"/>
      <c r="I14" s="27"/>
      <c r="J14" s="28" t="s">
        <v>27</v>
      </c>
      <c r="K14" s="27"/>
      <c r="L14" s="29"/>
      <c r="M14" s="21"/>
      <c r="O14" s="34" t="s">
        <v>36</v>
      </c>
      <c r="P14" s="5">
        <v>0</v>
      </c>
      <c r="R14" s="21"/>
      <c r="S14" s="21"/>
      <c r="T14" s="76" t="s">
        <v>56</v>
      </c>
      <c r="U14" s="5">
        <v>5</v>
      </c>
    </row>
    <row r="15" spans="2:22" ht="19.899999999999999" customHeight="1">
      <c r="C15" s="22" t="s">
        <v>29</v>
      </c>
      <c r="D15" s="25">
        <f>$E$10+$E$11*COS(2*RADIANS($D$8))-$D$6*SIN(2*RADIANS($D$8))</f>
        <v>2.2040326716425138</v>
      </c>
      <c r="E15" s="25">
        <f>D17</f>
        <v>-1.3321041083460687</v>
      </c>
      <c r="F15" s="78" t="s">
        <v>57</v>
      </c>
      <c r="J15" s="23" t="s">
        <v>24</v>
      </c>
      <c r="K15" s="24">
        <v>30</v>
      </c>
      <c r="L15" s="23" t="s">
        <v>28</v>
      </c>
      <c r="M15" s="24">
        <f>K15+90</f>
        <v>120</v>
      </c>
      <c r="O15" s="34" t="s">
        <v>37</v>
      </c>
      <c r="P15" s="5">
        <v>5</v>
      </c>
    </row>
    <row r="16" spans="2:22" ht="19.899999999999999" customHeight="1">
      <c r="C16" s="22" t="s">
        <v>30</v>
      </c>
      <c r="D16" s="25">
        <f>$E$10-$E$11*COS(2*RADIANS($D$8))+$D$6*SIN(2*RADIANS($D$8))</f>
        <v>5.7959673283574862</v>
      </c>
      <c r="E16" s="25">
        <f>-D17</f>
        <v>1.3321041083460687</v>
      </c>
      <c r="F16" s="78" t="s">
        <v>57</v>
      </c>
      <c r="J16" s="22" t="s">
        <v>23</v>
      </c>
      <c r="K16" s="31">
        <f>$D$4*COS(RADIANS(K15))^2+$D$5*SIN(RADIANS(K15))^2-2*$D$6*SIN(RADIANS(K15))*COS(RADIANS(K15))</f>
        <v>1.7679491924311228</v>
      </c>
    </row>
    <row r="17" spans="2:17" ht="19.899999999999999" customHeight="1">
      <c r="C17" s="22" t="s">
        <v>26</v>
      </c>
      <c r="D17" s="25">
        <f>$E$11*SIN(2*RADIANS($D$8))+$D$6*COS(2*RADIANS($D$8))</f>
        <v>-1.3321041083460687</v>
      </c>
      <c r="E17" s="78" t="s">
        <v>57</v>
      </c>
      <c r="F17" s="2"/>
      <c r="J17" s="22" t="s">
        <v>25</v>
      </c>
      <c r="K17" s="31">
        <f>$D$4*COS(RADIANS(M15))^2+$D$5*SIN(RADIANS(M15))^2-2*$D$6*SIN(RADIANS(M15))*COS(RADIANS(M15))</f>
        <v>6.2320508075688767</v>
      </c>
      <c r="O17" s="35" t="s">
        <v>51</v>
      </c>
      <c r="P17" s="67">
        <f>D8</f>
        <v>50</v>
      </c>
      <c r="Q17" s="74" t="s">
        <v>53</v>
      </c>
    </row>
    <row r="18" spans="2:17" ht="19.899999999999999" customHeight="1">
      <c r="C18" s="2"/>
      <c r="D18" s="2"/>
      <c r="E18" s="2"/>
      <c r="F18" s="2"/>
      <c r="J18" s="22" t="s">
        <v>26</v>
      </c>
      <c r="K18" s="31">
        <f>$E$11*SIN(2*RADIANS($K$15))+$D$6*COS(2*RADIANS($K$15))</f>
        <v>0.13397459621556163</v>
      </c>
      <c r="O18" s="35" t="s">
        <v>52</v>
      </c>
      <c r="P18" s="67">
        <f>2*P17</f>
        <v>100</v>
      </c>
    </row>
    <row r="19" spans="2:17" ht="19.899999999999999" customHeight="1">
      <c r="B19" s="58" t="s">
        <v>5</v>
      </c>
      <c r="C19" s="59"/>
      <c r="D19" s="61" t="s">
        <v>6</v>
      </c>
      <c r="E19" s="61" t="s">
        <v>3</v>
      </c>
      <c r="F19" s="31">
        <f>E10</f>
        <v>4</v>
      </c>
      <c r="G19" s="24">
        <v>0</v>
      </c>
      <c r="I19" s="78" t="s">
        <v>57</v>
      </c>
    </row>
    <row r="20" spans="2:17" ht="19.899999999999999" customHeight="1">
      <c r="B20" s="59"/>
      <c r="C20" s="59"/>
      <c r="D20" s="61" t="s">
        <v>19</v>
      </c>
      <c r="E20" s="61"/>
      <c r="F20" s="31">
        <f>(E11^2+D6^2)^0.5</f>
        <v>2.2360679774997898</v>
      </c>
      <c r="G20" s="32"/>
      <c r="I20" s="78" t="s">
        <v>57</v>
      </c>
    </row>
    <row r="21" spans="2:17" ht="19.899999999999999" customHeight="1"/>
    <row r="22" spans="2:17" ht="19.899999999999999" customHeight="1">
      <c r="D22" s="60" t="s">
        <v>41</v>
      </c>
      <c r="E22" s="31">
        <f>F19+F20</f>
        <v>6.2360679774997898</v>
      </c>
      <c r="F22" s="78" t="s">
        <v>57</v>
      </c>
    </row>
    <row r="23" spans="2:17" ht="19.899999999999999" customHeight="1">
      <c r="D23" s="60" t="s">
        <v>42</v>
      </c>
      <c r="E23" s="31">
        <f>F19-F20</f>
        <v>1.7639320225002102</v>
      </c>
      <c r="F23" s="78" t="s">
        <v>57</v>
      </c>
    </row>
    <row r="24" spans="2:17" ht="19.899999999999999" customHeight="1">
      <c r="D24" s="62" t="s">
        <v>43</v>
      </c>
      <c r="E24" s="25">
        <f>0.5*ATAN(-D6/E11)*180/PI()</f>
        <v>31.717474411461005</v>
      </c>
      <c r="I24" s="9" t="s">
        <v>16</v>
      </c>
    </row>
    <row r="25" spans="2:17" ht="19.899999999999999" customHeight="1">
      <c r="I25" s="10"/>
      <c r="J25" s="12" t="s">
        <v>11</v>
      </c>
      <c r="K25" s="14"/>
      <c r="L25" s="16"/>
    </row>
    <row r="26" spans="2:17">
      <c r="I26" s="11" t="s">
        <v>10</v>
      </c>
      <c r="J26" s="13" t="s">
        <v>7</v>
      </c>
      <c r="K26" s="15" t="s">
        <v>8</v>
      </c>
      <c r="L26" s="13" t="s">
        <v>9</v>
      </c>
    </row>
    <row r="27" spans="2:17">
      <c r="I27" s="3">
        <v>1</v>
      </c>
      <c r="J27" s="3">
        <v>0</v>
      </c>
      <c r="K27" s="6">
        <f>E22</f>
        <v>6.2360679774997898</v>
      </c>
      <c r="L27" s="7">
        <v>0</v>
      </c>
    </row>
    <row r="28" spans="2:17">
      <c r="I28" s="3">
        <v>2</v>
      </c>
      <c r="J28" s="3">
        <v>5</v>
      </c>
      <c r="K28" s="6">
        <f>$F$19+$F$20*COS(RADIANS(J28))</f>
        <v>6.2275590637580232</v>
      </c>
      <c r="L28" s="7">
        <f>$F$20*SIN(RADIANS(J28))</f>
        <v>0.19488616541324796</v>
      </c>
    </row>
    <row r="29" spans="2:17">
      <c r="I29" s="3">
        <v>3</v>
      </c>
      <c r="J29" s="3">
        <v>10</v>
      </c>
      <c r="K29" s="6">
        <f t="shared" ref="K29:K92" si="0">$F$19+$F$20*COS(RADIANS(J29))</f>
        <v>6.2020970805041209</v>
      </c>
      <c r="L29" s="7">
        <f t="shared" ref="L29:L92" si="1">$F$20*SIN(RADIANS(J29))</f>
        <v>0.38828912943221705</v>
      </c>
    </row>
    <row r="30" spans="2:17">
      <c r="I30" s="3">
        <v>4</v>
      </c>
      <c r="J30" s="3">
        <v>15</v>
      </c>
      <c r="K30" s="6">
        <f t="shared" si="0"/>
        <v>6.1598758088050101</v>
      </c>
      <c r="L30" s="7">
        <f t="shared" si="1"/>
        <v>0.57873697872082042</v>
      </c>
    </row>
    <row r="31" spans="2:17">
      <c r="I31" s="3">
        <v>5</v>
      </c>
      <c r="J31" s="3">
        <v>20</v>
      </c>
      <c r="K31" s="6">
        <f t="shared" si="0"/>
        <v>6.1012165780322238</v>
      </c>
      <c r="L31" s="7">
        <f t="shared" si="1"/>
        <v>0.76478029015041626</v>
      </c>
    </row>
    <row r="32" spans="2:17">
      <c r="I32" s="3">
        <v>6</v>
      </c>
      <c r="J32" s="3">
        <v>25</v>
      </c>
      <c r="K32" s="6">
        <f t="shared" si="0"/>
        <v>6.0265658203513519</v>
      </c>
      <c r="L32" s="7">
        <f t="shared" si="1"/>
        <v>0.94500316178500254</v>
      </c>
    </row>
    <row r="33" spans="9:12">
      <c r="I33" s="3">
        <v>7</v>
      </c>
      <c r="J33" s="3">
        <v>30</v>
      </c>
      <c r="K33" s="6">
        <f t="shared" si="0"/>
        <v>5.936491673103709</v>
      </c>
      <c r="L33" s="7">
        <f t="shared" si="1"/>
        <v>1.1180339887498947</v>
      </c>
    </row>
    <row r="34" spans="9:12">
      <c r="I34" s="3">
        <v>8</v>
      </c>
      <c r="J34" s="3">
        <v>35</v>
      </c>
      <c r="K34" s="6">
        <f t="shared" si="0"/>
        <v>5.831679654938104</v>
      </c>
      <c r="L34" s="7">
        <f t="shared" si="1"/>
        <v>1.2825559019730204</v>
      </c>
    </row>
    <row r="35" spans="9:12">
      <c r="I35" s="3">
        <v>9</v>
      </c>
      <c r="J35" s="3">
        <v>40</v>
      </c>
      <c r="K35" s="6">
        <f t="shared" si="0"/>
        <v>5.7129274486000057</v>
      </c>
      <c r="L35" s="7">
        <f t="shared" si="1"/>
        <v>1.4373167903537041</v>
      </c>
    </row>
    <row r="36" spans="9:12">
      <c r="I36" s="3">
        <v>10</v>
      </c>
      <c r="J36" s="3">
        <v>45</v>
      </c>
      <c r="K36" s="6">
        <f t="shared" si="0"/>
        <v>5.58113883008419</v>
      </c>
      <c r="L36" s="7">
        <f t="shared" si="1"/>
        <v>1.5811388300841895</v>
      </c>
    </row>
    <row r="37" spans="9:12">
      <c r="I37" s="3">
        <v>11</v>
      </c>
      <c r="J37" s="3">
        <v>50</v>
      </c>
      <c r="K37" s="6">
        <f t="shared" si="0"/>
        <v>5.4373167903537043</v>
      </c>
      <c r="L37" s="7">
        <f t="shared" si="1"/>
        <v>1.7129274486000059</v>
      </c>
    </row>
    <row r="38" spans="9:12">
      <c r="I38" s="3">
        <v>12</v>
      </c>
      <c r="J38" s="3">
        <v>55</v>
      </c>
      <c r="K38" s="6">
        <f t="shared" si="0"/>
        <v>5.2825559019730211</v>
      </c>
      <c r="L38" s="7">
        <f t="shared" si="1"/>
        <v>1.831679654938104</v>
      </c>
    </row>
    <row r="39" spans="9:12">
      <c r="I39" s="3">
        <v>13</v>
      </c>
      <c r="J39" s="3">
        <v>60</v>
      </c>
      <c r="K39" s="6">
        <f t="shared" si="0"/>
        <v>5.1180339887498949</v>
      </c>
      <c r="L39" s="7">
        <f t="shared" si="1"/>
        <v>1.9364916731037085</v>
      </c>
    </row>
    <row r="40" spans="9:12">
      <c r="I40" s="3">
        <v>14</v>
      </c>
      <c r="J40" s="3">
        <v>65</v>
      </c>
      <c r="K40" s="6">
        <f t="shared" si="0"/>
        <v>4.945003161785003</v>
      </c>
      <c r="L40" s="7">
        <f t="shared" si="1"/>
        <v>2.0265658203513519</v>
      </c>
    </row>
    <row r="41" spans="9:12">
      <c r="I41" s="3">
        <v>15</v>
      </c>
      <c r="J41" s="3">
        <v>70</v>
      </c>
      <c r="K41" s="6">
        <f t="shared" si="0"/>
        <v>4.7647802901504166</v>
      </c>
      <c r="L41" s="7">
        <f t="shared" si="1"/>
        <v>2.1012165780322229</v>
      </c>
    </row>
    <row r="42" spans="9:12">
      <c r="I42" s="3">
        <v>16</v>
      </c>
      <c r="J42" s="3">
        <v>75</v>
      </c>
      <c r="K42" s="6">
        <f t="shared" si="0"/>
        <v>4.5787369787208201</v>
      </c>
      <c r="L42" s="7">
        <f t="shared" si="1"/>
        <v>2.1598758088050101</v>
      </c>
    </row>
    <row r="43" spans="9:12">
      <c r="I43" s="3">
        <v>17</v>
      </c>
      <c r="J43" s="3">
        <v>80</v>
      </c>
      <c r="K43" s="6">
        <f t="shared" si="0"/>
        <v>4.3882891294322173</v>
      </c>
      <c r="L43" s="7">
        <f t="shared" si="1"/>
        <v>2.2020970805041205</v>
      </c>
    </row>
    <row r="44" spans="9:12">
      <c r="I44" s="3">
        <v>18</v>
      </c>
      <c r="J44" s="3">
        <v>85</v>
      </c>
      <c r="K44" s="6">
        <f t="shared" si="0"/>
        <v>4.1948861654132479</v>
      </c>
      <c r="L44" s="7">
        <f t="shared" si="1"/>
        <v>2.2275590637580232</v>
      </c>
    </row>
    <row r="45" spans="9:12">
      <c r="I45" s="3">
        <v>19</v>
      </c>
      <c r="J45" s="3">
        <v>90</v>
      </c>
      <c r="K45" s="6">
        <f t="shared" si="0"/>
        <v>4</v>
      </c>
      <c r="L45" s="7">
        <f t="shared" si="1"/>
        <v>2.2360679774997898</v>
      </c>
    </row>
    <row r="46" spans="9:12">
      <c r="I46" s="3">
        <v>20</v>
      </c>
      <c r="J46" s="3">
        <v>95</v>
      </c>
      <c r="K46" s="6">
        <f t="shared" si="0"/>
        <v>3.8051138345867517</v>
      </c>
      <c r="L46" s="7">
        <f t="shared" si="1"/>
        <v>2.2275590637580232</v>
      </c>
    </row>
    <row r="47" spans="9:12">
      <c r="I47" s="3">
        <v>21</v>
      </c>
      <c r="J47" s="3">
        <v>100</v>
      </c>
      <c r="K47" s="6">
        <f t="shared" si="0"/>
        <v>3.6117108705677832</v>
      </c>
      <c r="L47" s="7">
        <f t="shared" si="1"/>
        <v>2.2020970805041205</v>
      </c>
    </row>
    <row r="48" spans="9:12">
      <c r="I48" s="3">
        <v>22</v>
      </c>
      <c r="J48" s="3">
        <v>105</v>
      </c>
      <c r="K48" s="6">
        <f t="shared" si="0"/>
        <v>3.4212630212791795</v>
      </c>
      <c r="L48" s="7">
        <f t="shared" si="1"/>
        <v>2.1598758088050101</v>
      </c>
    </row>
    <row r="49" spans="9:12">
      <c r="I49" s="3">
        <v>23</v>
      </c>
      <c r="J49" s="3">
        <v>110</v>
      </c>
      <c r="K49" s="6">
        <f t="shared" si="0"/>
        <v>3.2352197098495838</v>
      </c>
      <c r="L49" s="7">
        <f t="shared" si="1"/>
        <v>2.1012165780322234</v>
      </c>
    </row>
    <row r="50" spans="9:12">
      <c r="I50" s="3">
        <v>24</v>
      </c>
      <c r="J50" s="3">
        <v>115</v>
      </c>
      <c r="K50" s="6">
        <f t="shared" si="0"/>
        <v>3.0549968382149979</v>
      </c>
      <c r="L50" s="7">
        <f t="shared" si="1"/>
        <v>2.0265658203513524</v>
      </c>
    </row>
    <row r="51" spans="9:12">
      <c r="I51" s="3">
        <v>25</v>
      </c>
      <c r="J51" s="3">
        <v>120</v>
      </c>
      <c r="K51" s="6">
        <f t="shared" si="0"/>
        <v>2.8819660112501055</v>
      </c>
      <c r="L51" s="7">
        <f t="shared" si="1"/>
        <v>1.9364916731037087</v>
      </c>
    </row>
    <row r="52" spans="9:12">
      <c r="I52" s="3">
        <v>26</v>
      </c>
      <c r="J52" s="3">
        <v>125</v>
      </c>
      <c r="K52" s="6">
        <f t="shared" si="0"/>
        <v>2.7174440980269794</v>
      </c>
      <c r="L52" s="7">
        <f t="shared" si="1"/>
        <v>1.8316796549381038</v>
      </c>
    </row>
    <row r="53" spans="9:12">
      <c r="I53" s="3">
        <v>27</v>
      </c>
      <c r="J53" s="3">
        <v>130</v>
      </c>
      <c r="K53" s="6">
        <f t="shared" si="0"/>
        <v>2.5626832096462957</v>
      </c>
      <c r="L53" s="7">
        <f t="shared" si="1"/>
        <v>1.7129274486000059</v>
      </c>
    </row>
    <row r="54" spans="9:12">
      <c r="I54" s="3">
        <v>28</v>
      </c>
      <c r="J54" s="3">
        <v>135</v>
      </c>
      <c r="K54" s="6">
        <f t="shared" si="0"/>
        <v>2.4188611699158105</v>
      </c>
      <c r="L54" s="7">
        <f t="shared" si="1"/>
        <v>1.5811388300841898</v>
      </c>
    </row>
    <row r="55" spans="9:12">
      <c r="I55" s="3">
        <v>29</v>
      </c>
      <c r="J55" s="3">
        <v>140</v>
      </c>
      <c r="K55" s="6">
        <f t="shared" si="0"/>
        <v>2.2870725513999943</v>
      </c>
      <c r="L55" s="7">
        <f t="shared" si="1"/>
        <v>1.4373167903537045</v>
      </c>
    </row>
    <row r="56" spans="9:12">
      <c r="I56" s="3">
        <v>30</v>
      </c>
      <c r="J56" s="3">
        <v>145</v>
      </c>
      <c r="K56" s="6">
        <f t="shared" si="0"/>
        <v>2.1683203450618955</v>
      </c>
      <c r="L56" s="7">
        <f t="shared" si="1"/>
        <v>1.2825559019730202</v>
      </c>
    </row>
    <row r="57" spans="9:12">
      <c r="I57" s="3">
        <v>31</v>
      </c>
      <c r="J57" s="3">
        <v>150</v>
      </c>
      <c r="K57" s="6">
        <f t="shared" si="0"/>
        <v>2.063508326896291</v>
      </c>
      <c r="L57" s="7">
        <f t="shared" si="1"/>
        <v>1.1180339887498947</v>
      </c>
    </row>
    <row r="58" spans="9:12">
      <c r="I58" s="3">
        <v>32</v>
      </c>
      <c r="J58" s="3">
        <v>155</v>
      </c>
      <c r="K58" s="6">
        <f t="shared" si="0"/>
        <v>1.9734341796486481</v>
      </c>
      <c r="L58" s="7">
        <f t="shared" si="1"/>
        <v>0.94500316178500277</v>
      </c>
    </row>
    <row r="59" spans="9:12">
      <c r="I59" s="3">
        <v>33</v>
      </c>
      <c r="J59" s="3">
        <v>160</v>
      </c>
      <c r="K59" s="6">
        <f t="shared" si="0"/>
        <v>1.8987834219677771</v>
      </c>
      <c r="L59" s="7">
        <f t="shared" si="1"/>
        <v>0.7647802901504166</v>
      </c>
    </row>
    <row r="60" spans="9:12">
      <c r="I60" s="3">
        <v>34</v>
      </c>
      <c r="J60" s="3">
        <v>165</v>
      </c>
      <c r="K60" s="6">
        <f t="shared" si="0"/>
        <v>1.8401241911949899</v>
      </c>
      <c r="L60" s="7">
        <f t="shared" si="1"/>
        <v>0.57873697872082108</v>
      </c>
    </row>
    <row r="61" spans="9:12">
      <c r="I61" s="3">
        <v>35</v>
      </c>
      <c r="J61" s="3">
        <v>170</v>
      </c>
      <c r="K61" s="6">
        <f t="shared" si="0"/>
        <v>1.7979029194958795</v>
      </c>
      <c r="L61" s="7">
        <f t="shared" si="1"/>
        <v>0.38828912943221694</v>
      </c>
    </row>
    <row r="62" spans="9:12">
      <c r="I62" s="3">
        <v>36</v>
      </c>
      <c r="J62" s="3">
        <v>175</v>
      </c>
      <c r="K62" s="6">
        <f t="shared" si="0"/>
        <v>1.7724409362419768</v>
      </c>
      <c r="L62" s="7">
        <f t="shared" si="1"/>
        <v>0.19488616541324802</v>
      </c>
    </row>
    <row r="63" spans="9:12">
      <c r="I63" s="3">
        <v>37</v>
      </c>
      <c r="J63" s="3">
        <v>180</v>
      </c>
      <c r="K63" s="6">
        <f t="shared" si="0"/>
        <v>1.7639320225002102</v>
      </c>
      <c r="L63" s="7">
        <f t="shared" si="1"/>
        <v>2.7395152277045102E-16</v>
      </c>
    </row>
    <row r="64" spans="9:12">
      <c r="I64" s="3">
        <v>38</v>
      </c>
      <c r="J64" s="3">
        <v>185</v>
      </c>
      <c r="K64" s="6">
        <f t="shared" si="0"/>
        <v>1.7724409362419768</v>
      </c>
      <c r="L64" s="7">
        <f t="shared" si="1"/>
        <v>-0.19488616541324746</v>
      </c>
    </row>
    <row r="65" spans="9:12">
      <c r="I65" s="3">
        <v>39</v>
      </c>
      <c r="J65" s="3">
        <v>190</v>
      </c>
      <c r="K65" s="6">
        <f t="shared" si="0"/>
        <v>1.7979029194958795</v>
      </c>
      <c r="L65" s="7">
        <f t="shared" si="1"/>
        <v>-0.38828912943221738</v>
      </c>
    </row>
    <row r="66" spans="9:12">
      <c r="I66" s="3">
        <v>40</v>
      </c>
      <c r="J66" s="3">
        <v>195</v>
      </c>
      <c r="K66" s="6">
        <f t="shared" si="0"/>
        <v>1.8401241911949899</v>
      </c>
      <c r="L66" s="7">
        <f t="shared" si="1"/>
        <v>-0.57873697872082053</v>
      </c>
    </row>
    <row r="67" spans="9:12">
      <c r="I67" s="3">
        <v>41</v>
      </c>
      <c r="J67" s="3">
        <v>200</v>
      </c>
      <c r="K67" s="6">
        <f t="shared" si="0"/>
        <v>1.8987834219677766</v>
      </c>
      <c r="L67" s="7">
        <f t="shared" si="1"/>
        <v>-0.76478029015041615</v>
      </c>
    </row>
    <row r="68" spans="9:12">
      <c r="I68" s="3">
        <v>42</v>
      </c>
      <c r="J68" s="3">
        <v>205</v>
      </c>
      <c r="K68" s="6">
        <f t="shared" si="0"/>
        <v>1.9734341796486476</v>
      </c>
      <c r="L68" s="7">
        <f t="shared" si="1"/>
        <v>-0.94500316178500221</v>
      </c>
    </row>
    <row r="69" spans="9:12">
      <c r="I69" s="3">
        <v>43</v>
      </c>
      <c r="J69" s="3">
        <v>210</v>
      </c>
      <c r="K69" s="6">
        <f t="shared" si="0"/>
        <v>2.0635083268962915</v>
      </c>
      <c r="L69" s="7">
        <f t="shared" si="1"/>
        <v>-1.1180339887498951</v>
      </c>
    </row>
    <row r="70" spans="9:12">
      <c r="I70" s="3">
        <v>44</v>
      </c>
      <c r="J70" s="3">
        <v>215</v>
      </c>
      <c r="K70" s="6">
        <f t="shared" si="0"/>
        <v>2.168320345061896</v>
      </c>
      <c r="L70" s="7">
        <f t="shared" si="1"/>
        <v>-1.2825559019730206</v>
      </c>
    </row>
    <row r="71" spans="9:12">
      <c r="I71" s="3">
        <v>45</v>
      </c>
      <c r="J71" s="3">
        <v>220</v>
      </c>
      <c r="K71" s="6">
        <f t="shared" si="0"/>
        <v>2.2870725513999943</v>
      </c>
      <c r="L71" s="7">
        <f t="shared" si="1"/>
        <v>-1.4373167903537041</v>
      </c>
    </row>
    <row r="72" spans="9:12">
      <c r="I72" s="3">
        <v>46</v>
      </c>
      <c r="J72" s="3">
        <v>225</v>
      </c>
      <c r="K72" s="6">
        <f t="shared" si="0"/>
        <v>2.41886116991581</v>
      </c>
      <c r="L72" s="7">
        <f t="shared" si="1"/>
        <v>-1.5811388300841895</v>
      </c>
    </row>
    <row r="73" spans="9:12">
      <c r="I73" s="3">
        <v>47</v>
      </c>
      <c r="J73" s="3">
        <v>230</v>
      </c>
      <c r="K73" s="6">
        <f t="shared" si="0"/>
        <v>2.5626832096462957</v>
      </c>
      <c r="L73" s="7">
        <f t="shared" si="1"/>
        <v>-1.7129274486000057</v>
      </c>
    </row>
    <row r="74" spans="9:12">
      <c r="I74" s="3">
        <v>48</v>
      </c>
      <c r="J74" s="3">
        <v>235</v>
      </c>
      <c r="K74" s="6">
        <f t="shared" si="0"/>
        <v>2.7174440980269789</v>
      </c>
      <c r="L74" s="7">
        <f t="shared" si="1"/>
        <v>-1.8316796549381036</v>
      </c>
    </row>
    <row r="75" spans="9:12">
      <c r="I75" s="3">
        <v>49</v>
      </c>
      <c r="J75" s="3">
        <v>240</v>
      </c>
      <c r="K75" s="6">
        <f t="shared" si="0"/>
        <v>2.8819660112501042</v>
      </c>
      <c r="L75" s="7">
        <f t="shared" si="1"/>
        <v>-1.9364916731037078</v>
      </c>
    </row>
    <row r="76" spans="9:12">
      <c r="I76" s="3">
        <v>50</v>
      </c>
      <c r="J76" s="3">
        <v>245</v>
      </c>
      <c r="K76" s="6">
        <f t="shared" si="0"/>
        <v>3.0549968382149979</v>
      </c>
      <c r="L76" s="7">
        <f t="shared" si="1"/>
        <v>-2.0265658203513524</v>
      </c>
    </row>
    <row r="77" spans="9:12">
      <c r="I77" s="3">
        <v>51</v>
      </c>
      <c r="J77" s="3">
        <v>250</v>
      </c>
      <c r="K77" s="6">
        <f t="shared" si="0"/>
        <v>3.2352197098495843</v>
      </c>
      <c r="L77" s="7">
        <f t="shared" si="1"/>
        <v>-2.1012165780322234</v>
      </c>
    </row>
    <row r="78" spans="9:12">
      <c r="I78" s="3">
        <v>52</v>
      </c>
      <c r="J78" s="3">
        <v>255</v>
      </c>
      <c r="K78" s="6">
        <f t="shared" si="0"/>
        <v>3.4212630212791799</v>
      </c>
      <c r="L78" s="7">
        <f t="shared" si="1"/>
        <v>-2.1598758088050101</v>
      </c>
    </row>
    <row r="79" spans="9:12">
      <c r="I79" s="3">
        <v>53</v>
      </c>
      <c r="J79" s="3">
        <v>260</v>
      </c>
      <c r="K79" s="6">
        <f t="shared" si="0"/>
        <v>3.6117108705677827</v>
      </c>
      <c r="L79" s="7">
        <f t="shared" si="1"/>
        <v>-2.2020970805041205</v>
      </c>
    </row>
    <row r="80" spans="9:12">
      <c r="I80" s="3">
        <v>54</v>
      </c>
      <c r="J80" s="3">
        <v>265</v>
      </c>
      <c r="K80" s="6">
        <f t="shared" si="0"/>
        <v>3.8051138345867517</v>
      </c>
      <c r="L80" s="7">
        <f t="shared" si="1"/>
        <v>-2.2275590637580232</v>
      </c>
    </row>
    <row r="81" spans="9:12">
      <c r="I81" s="3">
        <v>55</v>
      </c>
      <c r="J81" s="3">
        <v>270</v>
      </c>
      <c r="K81" s="6">
        <f t="shared" si="0"/>
        <v>3.9999999999999996</v>
      </c>
      <c r="L81" s="7">
        <f t="shared" si="1"/>
        <v>-2.2360679774997898</v>
      </c>
    </row>
    <row r="82" spans="9:12">
      <c r="I82" s="3">
        <v>56</v>
      </c>
      <c r="J82" s="3">
        <v>275</v>
      </c>
      <c r="K82" s="6">
        <f t="shared" si="0"/>
        <v>4.194886165413247</v>
      </c>
      <c r="L82" s="7">
        <f t="shared" si="1"/>
        <v>-2.2275590637580232</v>
      </c>
    </row>
    <row r="83" spans="9:12">
      <c r="I83" s="3">
        <v>57</v>
      </c>
      <c r="J83" s="3">
        <v>280</v>
      </c>
      <c r="K83" s="6">
        <f t="shared" si="0"/>
        <v>4.3882891294322164</v>
      </c>
      <c r="L83" s="7">
        <f t="shared" si="1"/>
        <v>-2.2020970805041209</v>
      </c>
    </row>
    <row r="84" spans="9:12">
      <c r="I84" s="3">
        <v>58</v>
      </c>
      <c r="J84" s="3">
        <v>285</v>
      </c>
      <c r="K84" s="6">
        <f t="shared" si="0"/>
        <v>4.5787369787208192</v>
      </c>
      <c r="L84" s="7">
        <f t="shared" si="1"/>
        <v>-2.1598758088050105</v>
      </c>
    </row>
    <row r="85" spans="9:12">
      <c r="I85" s="3">
        <v>59</v>
      </c>
      <c r="J85" s="3">
        <v>290</v>
      </c>
      <c r="K85" s="6">
        <f t="shared" si="0"/>
        <v>4.7647802901504166</v>
      </c>
      <c r="L85" s="7">
        <f t="shared" si="1"/>
        <v>-2.1012165780322229</v>
      </c>
    </row>
    <row r="86" spans="9:12">
      <c r="I86" s="3">
        <v>60</v>
      </c>
      <c r="J86" s="3">
        <v>295</v>
      </c>
      <c r="K86" s="6">
        <f t="shared" si="0"/>
        <v>4.945003161785003</v>
      </c>
      <c r="L86" s="7">
        <f t="shared" si="1"/>
        <v>-2.0265658203513519</v>
      </c>
    </row>
    <row r="87" spans="9:12">
      <c r="I87" s="3">
        <v>61</v>
      </c>
      <c r="J87" s="3">
        <v>300</v>
      </c>
      <c r="K87" s="6">
        <f t="shared" si="0"/>
        <v>5.1180339887498949</v>
      </c>
      <c r="L87" s="7">
        <f t="shared" si="1"/>
        <v>-1.9364916731037085</v>
      </c>
    </row>
    <row r="88" spans="9:12">
      <c r="I88" s="3">
        <v>62</v>
      </c>
      <c r="J88" s="3">
        <v>305</v>
      </c>
      <c r="K88" s="6">
        <f t="shared" si="0"/>
        <v>5.2825559019730202</v>
      </c>
      <c r="L88" s="7">
        <f t="shared" si="1"/>
        <v>-1.831679654938104</v>
      </c>
    </row>
    <row r="89" spans="9:12">
      <c r="I89" s="3">
        <v>63</v>
      </c>
      <c r="J89" s="3">
        <v>310</v>
      </c>
      <c r="K89" s="6">
        <f t="shared" si="0"/>
        <v>5.4373167903537043</v>
      </c>
      <c r="L89" s="7">
        <f t="shared" si="1"/>
        <v>-1.7129274486000061</v>
      </c>
    </row>
    <row r="90" spans="9:12">
      <c r="I90" s="3">
        <v>64</v>
      </c>
      <c r="J90" s="3">
        <v>315</v>
      </c>
      <c r="K90" s="6">
        <f t="shared" si="0"/>
        <v>5.5811388300841891</v>
      </c>
      <c r="L90" s="7">
        <f t="shared" si="1"/>
        <v>-1.5811388300841902</v>
      </c>
    </row>
    <row r="91" spans="9:12">
      <c r="I91" s="3">
        <v>65</v>
      </c>
      <c r="J91" s="3">
        <v>320</v>
      </c>
      <c r="K91" s="6">
        <f t="shared" si="0"/>
        <v>5.7129274486000057</v>
      </c>
      <c r="L91" s="7">
        <f t="shared" si="1"/>
        <v>-1.437316790353705</v>
      </c>
    </row>
    <row r="92" spans="9:12">
      <c r="I92" s="3">
        <v>66</v>
      </c>
      <c r="J92" s="3">
        <v>325</v>
      </c>
      <c r="K92" s="6">
        <f t="shared" si="0"/>
        <v>5.8316796549381031</v>
      </c>
      <c r="L92" s="7">
        <f t="shared" si="1"/>
        <v>-1.2825559019730215</v>
      </c>
    </row>
    <row r="93" spans="9:12">
      <c r="I93" s="3">
        <v>67</v>
      </c>
      <c r="J93" s="3">
        <v>330</v>
      </c>
      <c r="K93" s="6">
        <f t="shared" ref="K93:K98" si="2">$F$19+$F$20*COS(RADIANS(J93))</f>
        <v>5.9364916731037081</v>
      </c>
      <c r="L93" s="7">
        <f t="shared" ref="L93:L98" si="3">$F$20*SIN(RADIANS(J93))</f>
        <v>-1.1180339887498958</v>
      </c>
    </row>
    <row r="94" spans="9:12">
      <c r="I94" s="3">
        <v>68</v>
      </c>
      <c r="J94" s="3">
        <v>335</v>
      </c>
      <c r="K94" s="6">
        <f t="shared" si="2"/>
        <v>6.0265658203513528</v>
      </c>
      <c r="L94" s="7">
        <f t="shared" si="3"/>
        <v>-0.9450031617850021</v>
      </c>
    </row>
    <row r="95" spans="9:12">
      <c r="I95" s="3">
        <v>69</v>
      </c>
      <c r="J95" s="3">
        <v>340</v>
      </c>
      <c r="K95" s="6">
        <f t="shared" si="2"/>
        <v>6.1012165780322238</v>
      </c>
      <c r="L95" s="7">
        <f t="shared" si="3"/>
        <v>-0.76478029015041604</v>
      </c>
    </row>
    <row r="96" spans="9:12">
      <c r="I96" s="3">
        <v>70</v>
      </c>
      <c r="J96" s="3">
        <v>345</v>
      </c>
      <c r="K96" s="6">
        <f t="shared" si="2"/>
        <v>6.1598758088050101</v>
      </c>
      <c r="L96" s="7">
        <f t="shared" si="3"/>
        <v>-0.57873697872082031</v>
      </c>
    </row>
    <row r="97" spans="9:12">
      <c r="I97" s="3">
        <v>71</v>
      </c>
      <c r="J97" s="3">
        <v>350</v>
      </c>
      <c r="K97" s="6">
        <f t="shared" si="2"/>
        <v>6.2020970805041209</v>
      </c>
      <c r="L97" s="7">
        <f t="shared" si="3"/>
        <v>-0.38828912943221722</v>
      </c>
    </row>
    <row r="98" spans="9:12">
      <c r="I98" s="3">
        <v>72</v>
      </c>
      <c r="J98" s="3">
        <v>355</v>
      </c>
      <c r="K98" s="6">
        <f t="shared" si="2"/>
        <v>6.2275590637580232</v>
      </c>
      <c r="L98" s="7">
        <f t="shared" si="3"/>
        <v>-0.1948861654132483</v>
      </c>
    </row>
    <row r="99" spans="9:12">
      <c r="I99" s="3">
        <v>73</v>
      </c>
      <c r="J99" s="3">
        <v>360</v>
      </c>
      <c r="K99" s="6">
        <f>$F$19+$F$20*COS(RADIANS(J99))</f>
        <v>6.2360679774997898</v>
      </c>
      <c r="L99" s="7">
        <f>$F$20*SIN(RADIANS(J99))</f>
        <v>-5.4790304554090204E-16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nimate2">
                <anchor moveWithCells="1" sizeWithCells="1">
                  <from>
                    <xdr:col>17</xdr:col>
                    <xdr:colOff>304800</xdr:colOff>
                    <xdr:row>14</xdr:row>
                    <xdr:rowOff>76200</xdr:rowOff>
                  </from>
                  <to>
                    <xdr:col>20</xdr:col>
                    <xdr:colOff>371475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tepMC">
                <anchor moveWithCells="1" sizeWithCells="1">
                  <from>
                    <xdr:col>21</xdr:col>
                    <xdr:colOff>247650</xdr:colOff>
                    <xdr:row>14</xdr:row>
                    <xdr:rowOff>47625</xdr:rowOff>
                  </from>
                  <to>
                    <xdr:col>23</xdr:col>
                    <xdr:colOff>495300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etAnimation">
                <anchor moveWithCells="1" sizeWithCells="1">
                  <from>
                    <xdr:col>17</xdr:col>
                    <xdr:colOff>285750</xdr:colOff>
                    <xdr:row>17</xdr:row>
                    <xdr:rowOff>76200</xdr:rowOff>
                  </from>
                  <to>
                    <xdr:col>21</xdr:col>
                    <xdr:colOff>447675</xdr:colOff>
                    <xdr:row>18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Iu and Iv, 2 Theta Eqn</vt:lpstr>
      <vt:lpstr>Animation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Flori Jr, Ralph E.</dc:creator>
  <cp:lastModifiedBy>Flori Jr, Ralph</cp:lastModifiedBy>
  <dcterms:created xsi:type="dcterms:W3CDTF">2022-04-17T12:20:12Z</dcterms:created>
  <dcterms:modified xsi:type="dcterms:W3CDTF">2026-05-01T16:42:48Z</dcterms:modified>
</cp:coreProperties>
</file>