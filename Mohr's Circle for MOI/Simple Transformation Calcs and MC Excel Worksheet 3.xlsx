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missouri-my.sharepoint.com/personal/reflori_umsystem_edu/Documents/R Flori Statics Project/Mohr's Circle for MOI/"/>
    </mc:Choice>
  </mc:AlternateContent>
  <xr:revisionPtr revIDLastSave="0" documentId="8_{77746486-D3F5-4E68-861D-3DFB65EFF0D6}" xr6:coauthVersionLast="47" xr6:coauthVersionMax="47" xr10:uidLastSave="{00000000-0000-0000-0000-000000000000}"/>
  <bookViews>
    <workbookView xWindow="2985" yWindow="2055" windowWidth="21600" windowHeight="12645" xr2:uid="{40B87AE3-BD37-4013-B746-80E4FF64D87B}"/>
  </bookViews>
  <sheets>
    <sheet name="Units mm" sheetId="2" r:id="rId1"/>
    <sheet name="Units Inches" sheetId="1" r:id="rId2"/>
  </sheets>
  <definedNames>
    <definedName name="solver_adj" localSheetId="1" hidden="1">'Units Inches'!$D$11</definedName>
    <definedName name="solver_adj" localSheetId="0" hidden="1">'Units mm'!$D$17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1</definedName>
    <definedName name="solver_eng" localSheetId="0" hidden="1">1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0</definedName>
    <definedName name="solver_num" localSheetId="0" hidden="1">0</definedName>
    <definedName name="solver_nwt" localSheetId="1" hidden="1">1</definedName>
    <definedName name="solver_nwt" localSheetId="0" hidden="1">1</definedName>
    <definedName name="solver_opt" localSheetId="1" hidden="1">'Units Inches'!$H$11</definedName>
    <definedName name="solver_opt" localSheetId="0" hidden="1">'Units mm'!$H$17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1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2" l="1"/>
  <c r="H28" i="2" s="1"/>
  <c r="H29" i="2" s="1"/>
  <c r="H24" i="1"/>
  <c r="H25" i="1" s="1"/>
  <c r="H28" i="1" l="1"/>
  <c r="H29" i="1" s="1"/>
  <c r="H25" i="2"/>
  <c r="H23" i="2" l="1"/>
  <c r="H27" i="2" l="1"/>
  <c r="H26" i="2"/>
  <c r="H19" i="2"/>
  <c r="D18" i="2"/>
  <c r="H18" i="2" s="1"/>
  <c r="H17" i="2"/>
  <c r="H13" i="2"/>
  <c r="D12" i="2"/>
  <c r="H12" i="2" s="1"/>
  <c r="H11" i="2"/>
  <c r="H23" i="1"/>
  <c r="H19" i="1"/>
  <c r="H13" i="1"/>
  <c r="D18" i="1"/>
  <c r="H18" i="1" s="1"/>
  <c r="D12" i="1"/>
  <c r="H12" i="1" s="1"/>
  <c r="H17" i="1"/>
  <c r="H11" i="1"/>
  <c r="H27" i="1" l="1"/>
  <c r="H26" i="1"/>
</calcChain>
</file>

<file path=xl/sharedStrings.xml><?xml version="1.0" encoding="utf-8"?>
<sst xmlns="http://schemas.openxmlformats.org/spreadsheetml/2006/main" count="81" uniqueCount="24">
  <si>
    <t>Mohr's Circle for Area Moment of Inertia</t>
  </si>
  <si>
    <t>Inputs:</t>
  </si>
  <si>
    <r>
      <t>I</t>
    </r>
    <r>
      <rPr>
        <b/>
        <vertAlign val="subscript"/>
        <sz val="11"/>
        <color theme="1"/>
        <rFont val="Verdana"/>
        <family val="2"/>
      </rPr>
      <t>x</t>
    </r>
    <r>
      <rPr>
        <b/>
        <sz val="11"/>
        <color theme="1"/>
        <rFont val="Verdana"/>
        <family val="2"/>
      </rPr>
      <t xml:space="preserve"> =</t>
    </r>
  </si>
  <si>
    <r>
      <t>I</t>
    </r>
    <r>
      <rPr>
        <b/>
        <vertAlign val="subscript"/>
        <sz val="11"/>
        <color theme="1"/>
        <rFont val="Verdana"/>
        <family val="2"/>
      </rPr>
      <t>y</t>
    </r>
    <r>
      <rPr>
        <b/>
        <sz val="11"/>
        <color theme="1"/>
        <rFont val="Verdana"/>
        <family val="2"/>
      </rPr>
      <t xml:space="preserve"> =</t>
    </r>
  </si>
  <si>
    <r>
      <t>I</t>
    </r>
    <r>
      <rPr>
        <b/>
        <vertAlign val="subscript"/>
        <sz val="11"/>
        <color theme="1"/>
        <rFont val="Verdana"/>
        <family val="2"/>
      </rPr>
      <t>xy</t>
    </r>
    <r>
      <rPr>
        <b/>
        <sz val="11"/>
        <color theme="1"/>
        <rFont val="Verdana"/>
        <family val="2"/>
      </rPr>
      <t xml:space="preserve"> =</t>
    </r>
  </si>
  <si>
    <r>
      <t>in</t>
    </r>
    <r>
      <rPr>
        <b/>
        <vertAlign val="superscript"/>
        <sz val="10"/>
        <color theme="1"/>
        <rFont val="Verdana"/>
        <family val="2"/>
      </rPr>
      <t>4</t>
    </r>
  </si>
  <si>
    <r>
      <t xml:space="preserve">Angle, </t>
    </r>
    <r>
      <rPr>
        <b/>
        <sz val="10"/>
        <color theme="1"/>
        <rFont val="Symbol"/>
        <family val="1"/>
        <charset val="2"/>
      </rPr>
      <t>q</t>
    </r>
    <r>
      <rPr>
        <b/>
        <sz val="10"/>
        <color theme="1"/>
        <rFont val="Verdana"/>
        <family val="2"/>
      </rPr>
      <t xml:space="preserve">:  </t>
    </r>
  </si>
  <si>
    <r>
      <t>At this angle, I</t>
    </r>
    <r>
      <rPr>
        <b/>
        <vertAlign val="subscript"/>
        <sz val="11"/>
        <color theme="1"/>
        <rFont val="Symbol"/>
        <family val="1"/>
        <charset val="2"/>
      </rPr>
      <t>q</t>
    </r>
    <r>
      <rPr>
        <b/>
        <sz val="11"/>
        <color theme="1"/>
        <rFont val="Verdana"/>
        <family val="2"/>
      </rPr>
      <t xml:space="preserve"> =</t>
    </r>
  </si>
  <si>
    <t>Using Solver (under Data) to find the angle at which IMAX occurs.</t>
  </si>
  <si>
    <r>
      <rPr>
        <b/>
        <sz val="10"/>
        <color theme="1"/>
        <rFont val="Symbol"/>
        <family val="1"/>
        <charset val="2"/>
      </rPr>
      <t>q</t>
    </r>
    <r>
      <rPr>
        <b/>
        <sz val="10"/>
        <color theme="1"/>
        <rFont val="Verdana"/>
        <family val="2"/>
      </rPr>
      <t>+ 90</t>
    </r>
  </si>
  <si>
    <r>
      <rPr>
        <b/>
        <sz val="10"/>
        <color theme="1"/>
        <rFont val="Verdana"/>
        <family val="2"/>
      </rPr>
      <t>At this angle,</t>
    </r>
    <r>
      <rPr>
        <b/>
        <sz val="11"/>
        <color theme="1"/>
        <rFont val="Verdana"/>
        <family val="2"/>
      </rPr>
      <t xml:space="preserve"> I</t>
    </r>
    <r>
      <rPr>
        <b/>
        <vertAlign val="subscript"/>
        <sz val="11"/>
        <color theme="1"/>
        <rFont val="Symbol"/>
        <family val="1"/>
        <charset val="2"/>
      </rPr>
      <t>q</t>
    </r>
    <r>
      <rPr>
        <b/>
        <sz val="11"/>
        <color theme="1"/>
        <rFont val="Verdana"/>
        <family val="2"/>
      </rPr>
      <t xml:space="preserve"> =</t>
    </r>
  </si>
  <si>
    <r>
      <rPr>
        <b/>
        <sz val="10"/>
        <color theme="1"/>
        <rFont val="Verdana"/>
        <family val="2"/>
      </rPr>
      <t xml:space="preserve">At </t>
    </r>
    <r>
      <rPr>
        <b/>
        <sz val="10"/>
        <color theme="1"/>
        <rFont val="Symbol"/>
        <family val="1"/>
        <charset val="2"/>
      </rPr>
      <t>q</t>
    </r>
    <r>
      <rPr>
        <b/>
        <sz val="10"/>
        <color theme="1"/>
        <rFont val="Verdana"/>
        <family val="2"/>
      </rPr>
      <t xml:space="preserve"> + 90,</t>
    </r>
    <r>
      <rPr>
        <b/>
        <sz val="11"/>
        <color theme="1"/>
        <rFont val="Verdana"/>
        <family val="2"/>
      </rPr>
      <t xml:space="preserve"> I</t>
    </r>
    <r>
      <rPr>
        <b/>
        <vertAlign val="subscript"/>
        <sz val="11"/>
        <color theme="1"/>
        <rFont val="Symbol"/>
        <family val="1"/>
        <charset val="2"/>
      </rPr>
      <t>q+90</t>
    </r>
    <r>
      <rPr>
        <b/>
        <sz val="11"/>
        <color theme="1"/>
        <rFont val="Verdana"/>
        <family val="2"/>
      </rPr>
      <t xml:space="preserve"> =</t>
    </r>
  </si>
  <si>
    <r>
      <t xml:space="preserve">At angle </t>
    </r>
    <r>
      <rPr>
        <b/>
        <sz val="10"/>
        <color theme="1"/>
        <rFont val="Symbol"/>
        <family val="1"/>
        <charset val="2"/>
      </rPr>
      <t>q</t>
    </r>
    <r>
      <rPr>
        <b/>
        <sz val="10"/>
        <color theme="1"/>
        <rFont val="Verdana"/>
        <family val="2"/>
      </rPr>
      <t>, I</t>
    </r>
    <r>
      <rPr>
        <b/>
        <vertAlign val="subscript"/>
        <sz val="10"/>
        <color theme="1"/>
        <rFont val="Verdana"/>
        <family val="2"/>
      </rPr>
      <t>uv</t>
    </r>
    <r>
      <rPr>
        <b/>
        <sz val="10"/>
        <color theme="1"/>
        <rFont val="Verdana"/>
        <family val="2"/>
      </rPr>
      <t xml:space="preserve"> =</t>
    </r>
  </si>
  <si>
    <r>
      <t xml:space="preserve">Calculating I at a given angle, </t>
    </r>
    <r>
      <rPr>
        <b/>
        <sz val="10"/>
        <color theme="1"/>
        <rFont val="Symbol"/>
        <family val="1"/>
        <charset val="2"/>
      </rPr>
      <t>q</t>
    </r>
    <r>
      <rPr>
        <b/>
        <sz val="10"/>
        <color theme="1"/>
        <rFont val="Verdana"/>
        <family val="2"/>
      </rPr>
      <t>.</t>
    </r>
  </si>
  <si>
    <t>Additional Calcs (for Mohr's Circle)</t>
  </si>
  <si>
    <r>
      <t>I</t>
    </r>
    <r>
      <rPr>
        <b/>
        <vertAlign val="subscript"/>
        <sz val="10"/>
        <color theme="1"/>
        <rFont val="Verdana"/>
        <family val="2"/>
      </rPr>
      <t>AVG</t>
    </r>
    <r>
      <rPr>
        <b/>
        <sz val="10"/>
        <color theme="1"/>
        <rFont val="Verdana"/>
        <family val="2"/>
      </rPr>
      <t xml:space="preserve"> = Center =</t>
    </r>
  </si>
  <si>
    <t>Radius =</t>
  </si>
  <si>
    <r>
      <t>I</t>
    </r>
    <r>
      <rPr>
        <b/>
        <vertAlign val="subscript"/>
        <sz val="10"/>
        <color theme="1"/>
        <rFont val="Verdana"/>
        <family val="2"/>
      </rPr>
      <t>MAX</t>
    </r>
    <r>
      <rPr>
        <b/>
        <sz val="10"/>
        <color theme="1"/>
        <rFont val="Verdana"/>
        <family val="2"/>
      </rPr>
      <t xml:space="preserve"> =</t>
    </r>
  </si>
  <si>
    <r>
      <rPr>
        <b/>
        <sz val="10"/>
        <color theme="1"/>
        <rFont val="Symbol"/>
        <family val="1"/>
        <charset val="2"/>
      </rPr>
      <t>q</t>
    </r>
    <r>
      <rPr>
        <b/>
        <vertAlign val="subscript"/>
        <sz val="10"/>
        <color theme="1"/>
        <rFont val="Verdana"/>
        <family val="2"/>
      </rPr>
      <t>p</t>
    </r>
    <r>
      <rPr>
        <b/>
        <sz val="10"/>
        <color theme="1"/>
        <rFont val="Verdana"/>
        <family val="2"/>
      </rPr>
      <t xml:space="preserve"> =</t>
    </r>
  </si>
  <si>
    <r>
      <t>mm</t>
    </r>
    <r>
      <rPr>
        <b/>
        <vertAlign val="superscript"/>
        <sz val="10"/>
        <color theme="1"/>
        <rFont val="Verdana"/>
        <family val="2"/>
      </rPr>
      <t>4</t>
    </r>
  </si>
  <si>
    <t>deg</t>
  </si>
  <si>
    <r>
      <t>I</t>
    </r>
    <r>
      <rPr>
        <b/>
        <vertAlign val="subscript"/>
        <sz val="10"/>
        <color theme="1"/>
        <rFont val="Verdana"/>
        <family val="2"/>
      </rPr>
      <t>MIN</t>
    </r>
    <r>
      <rPr>
        <b/>
        <sz val="10"/>
        <color theme="1"/>
        <rFont val="Verdana"/>
        <family val="2"/>
      </rPr>
      <t xml:space="preserve"> =</t>
    </r>
  </si>
  <si>
    <r>
      <t xml:space="preserve">At </t>
    </r>
    <r>
      <rPr>
        <b/>
        <sz val="11"/>
        <color theme="1"/>
        <rFont val="Symbol"/>
        <family val="1"/>
        <charset val="2"/>
      </rPr>
      <t>q</t>
    </r>
    <r>
      <rPr>
        <b/>
        <vertAlign val="subscript"/>
        <sz val="11"/>
        <color theme="1"/>
        <rFont val="Verdana"/>
        <family val="2"/>
      </rPr>
      <t>p</t>
    </r>
    <r>
      <rPr>
        <b/>
        <sz val="11"/>
        <color theme="1"/>
        <rFont val="Verdana"/>
        <family val="2"/>
      </rPr>
      <t>,  I</t>
    </r>
    <r>
      <rPr>
        <b/>
        <vertAlign val="subscript"/>
        <sz val="11"/>
        <color theme="1"/>
        <rFont val="Symbol"/>
        <family val="1"/>
        <charset val="2"/>
      </rPr>
      <t>q</t>
    </r>
    <r>
      <rPr>
        <b/>
        <sz val="11"/>
        <color theme="1"/>
        <rFont val="Verdana"/>
        <family val="2"/>
      </rPr>
      <t xml:space="preserve"> =</t>
    </r>
  </si>
  <si>
    <t>(Ix - Iy)/2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</si>
</sst>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00.00E+00"/>
    <numFmt numFmtId="166" formatCode="###.##E+00"/>
    <numFmt numFmtId="167" formatCode="###.###E+00"/>
    <numFmt numFmtId="168" formatCode="000.0E+00"/>
  </numFmts>
  <fonts count="18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Verdana"/>
      <family val="2"/>
    </font>
    <font>
      <b/>
      <vertAlign val="subscript"/>
      <sz val="11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Symbol"/>
      <family val="1"/>
      <charset val="2"/>
    </font>
    <font>
      <b/>
      <vertAlign val="superscript"/>
      <sz val="10"/>
      <color theme="1"/>
      <name val="Verdana"/>
      <family val="2"/>
    </font>
    <font>
      <b/>
      <vertAlign val="subscript"/>
      <sz val="11"/>
      <color theme="1"/>
      <name val="Symbol"/>
      <family val="1"/>
      <charset val="2"/>
    </font>
    <font>
      <b/>
      <sz val="10"/>
      <color theme="1"/>
      <name val="Verdana"/>
      <family val="1"/>
      <charset val="2"/>
    </font>
    <font>
      <b/>
      <vertAlign val="subscript"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Symbol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5" fillId="2" borderId="0" xfId="0" applyFont="1" applyFill="1"/>
    <xf numFmtId="0" fontId="6" fillId="2" borderId="0" xfId="0" applyFont="1" applyFill="1"/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" fillId="0" borderId="0" xfId="0" applyFont="1"/>
    <xf numFmtId="0" fontId="5" fillId="0" borderId="0" xfId="0" applyFont="1"/>
    <xf numFmtId="164" fontId="5" fillId="4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0" fillId="2" borderId="0" xfId="0" applyFill="1"/>
    <xf numFmtId="0" fontId="5" fillId="0" borderId="0" xfId="0" applyFont="1" applyAlignment="1">
      <alignment horizontal="left" indent="3"/>
    </xf>
    <xf numFmtId="0" fontId="11" fillId="0" borderId="0" xfId="0" applyFont="1" applyAlignment="1">
      <alignment horizontal="left" indent="3"/>
    </xf>
    <xf numFmtId="0" fontId="13" fillId="0" borderId="0" xfId="0" applyFont="1"/>
    <xf numFmtId="0" fontId="13" fillId="2" borderId="0" xfId="0" applyFont="1" applyFill="1"/>
    <xf numFmtId="0" fontId="6" fillId="0" borderId="0" xfId="0" applyFont="1"/>
    <xf numFmtId="165" fontId="6" fillId="0" borderId="0" xfId="0" applyNumberFormat="1" applyFont="1"/>
    <xf numFmtId="165" fontId="6" fillId="2" borderId="0" xfId="0" applyNumberFormat="1" applyFont="1" applyFill="1"/>
    <xf numFmtId="166" fontId="14" fillId="4" borderId="1" xfId="0" applyNumberFormat="1" applyFont="1" applyFill="1" applyBorder="1" applyAlignment="1">
      <alignment horizontal="center" vertical="center"/>
    </xf>
    <xf numFmtId="167" fontId="14" fillId="4" borderId="1" xfId="0" applyNumberFormat="1" applyFont="1" applyFill="1" applyBorder="1" applyAlignment="1">
      <alignment horizontal="center" vertical="center"/>
    </xf>
    <xf numFmtId="167" fontId="14" fillId="3" borderId="1" xfId="0" applyNumberFormat="1" applyFont="1" applyFill="1" applyBorder="1" applyAlignment="1">
      <alignment horizontal="center" vertical="center"/>
    </xf>
    <xf numFmtId="2" fontId="14" fillId="4" borderId="1" xfId="0" applyNumberFormat="1" applyFont="1" applyFill="1" applyBorder="1" applyAlignment="1">
      <alignment horizontal="center" vertical="center"/>
    </xf>
    <xf numFmtId="0" fontId="16" fillId="0" borderId="0" xfId="0" applyFont="1"/>
    <xf numFmtId="2" fontId="5" fillId="4" borderId="1" xfId="0" applyNumberFormat="1" applyFont="1" applyFill="1" applyBorder="1" applyAlignment="1">
      <alignment horizontal="center" vertical="center"/>
    </xf>
    <xf numFmtId="168" fontId="14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</xdr:colOff>
      <xdr:row>2</xdr:row>
      <xdr:rowOff>15240</xdr:rowOff>
    </xdr:from>
    <xdr:ext cx="2675432" cy="1860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2CF81B9-D497-4FD8-9618-5C407904B08B}"/>
                </a:ext>
              </a:extLst>
            </xdr:cNvPr>
            <xdr:cNvSpPr txBox="1"/>
          </xdr:nvSpPr>
          <xdr:spPr>
            <a:xfrm>
              <a:off x="4305300" y="381000"/>
              <a:ext cx="2675432" cy="18607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𝑐𝑜𝑠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sub>
                    </m:sSub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𝑠𝑖𝑛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𝜃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−2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𝑥𝑦</m:t>
                        </m:r>
                      </m:sub>
                    </m:sSub>
                    <m:func>
                      <m:func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sin</m:t>
                        </m:r>
                      </m:fName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𝜃</m:t>
                        </m:r>
                      </m:e>
                    </m:func>
                    <m:func>
                      <m:func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cos</m:t>
                        </m:r>
                      </m:fName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𝜃</m:t>
                        </m:r>
                      </m:e>
                    </m:fun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2CF81B9-D497-4FD8-9618-5C407904B08B}"/>
                </a:ext>
              </a:extLst>
            </xdr:cNvPr>
            <xdr:cNvSpPr txBox="1"/>
          </xdr:nvSpPr>
          <xdr:spPr>
            <a:xfrm>
              <a:off x="4305300" y="381000"/>
              <a:ext cx="2675432" cy="18607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𝐼_𝑢=𝐼_𝑥 〖𝑐𝑜𝑠〗^2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𝜃+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𝐼_𝑦 〖𝑠𝑖𝑛〗^2 𝜃−2𝐼_𝑥𝑦  sin⁡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𝜃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cos⁡𝜃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45720</xdr:colOff>
      <xdr:row>3</xdr:row>
      <xdr:rowOff>175260</xdr:rowOff>
    </xdr:from>
    <xdr:ext cx="2406074" cy="4325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D41F421-7951-4E80-A8CE-7487CCE8A977}"/>
                </a:ext>
              </a:extLst>
            </xdr:cNvPr>
            <xdr:cNvSpPr txBox="1"/>
          </xdr:nvSpPr>
          <xdr:spPr>
            <a:xfrm>
              <a:off x="4305300" y="723900"/>
              <a:ext cx="2406074" cy="432570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𝑢𝑣</m:t>
                        </m:r>
                      </m:sub>
                    </m:sSub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</m:s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</m:num>
                      <m:den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𝑠𝑖𝑛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𝜃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𝑥𝑦</m:t>
                        </m:r>
                      </m:sub>
                    </m:sSub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𝑐𝑜𝑠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𝜃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D41F421-7951-4E80-A8CE-7487CCE8A977}"/>
                </a:ext>
              </a:extLst>
            </xdr:cNvPr>
            <xdr:cNvSpPr txBox="1"/>
          </xdr:nvSpPr>
          <xdr:spPr>
            <a:xfrm>
              <a:off x="4305300" y="723900"/>
              <a:ext cx="2406074" cy="432570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𝐼_𝑢𝑣=(𝐼_𝑥−𝐼_𝑦)/2 𝑠𝑖𝑛2𝜃+𝐼_𝑥𝑦 𝑐𝑜𝑠2𝜃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10</xdr:col>
      <xdr:colOff>46565</xdr:colOff>
      <xdr:row>4</xdr:row>
      <xdr:rowOff>120015</xdr:rowOff>
    </xdr:from>
    <xdr:ext cx="1902509" cy="545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CC1D7AB-2F65-4472-BBE9-52E3DB2E9562}"/>
                </a:ext>
              </a:extLst>
            </xdr:cNvPr>
            <xdr:cNvSpPr txBox="1"/>
          </xdr:nvSpPr>
          <xdr:spPr>
            <a:xfrm>
              <a:off x="7201745" y="851535"/>
              <a:ext cx="1902509" cy="545662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𝑅𝑎𝑑𝑖𝑢𝑠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𝐼</m:t>
                                        </m:r>
                                      </m:e>
                                      <m:sub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sub>
                                    </m:s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sSub>
                                      <m:sSubPr>
                                        <m:ctrlP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𝐼</m:t>
                                        </m:r>
                                      </m:e>
                                      <m:sub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𝑦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𝑥𝑦</m:t>
                            </m:r>
                          </m:sub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CC1D7AB-2F65-4472-BBE9-52E3DB2E9562}"/>
                </a:ext>
              </a:extLst>
            </xdr:cNvPr>
            <xdr:cNvSpPr txBox="1"/>
          </xdr:nvSpPr>
          <xdr:spPr>
            <a:xfrm>
              <a:off x="7201745" y="851535"/>
              <a:ext cx="1902509" cy="545662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𝑅𝑎𝑑𝑖𝑢𝑠=√(((𝐼_𝑥−𝐼_𝑦)/2)^2+𝐼_𝑥𝑦^2 )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30480</xdr:colOff>
      <xdr:row>2</xdr:row>
      <xdr:rowOff>7620</xdr:rowOff>
    </xdr:from>
    <xdr:ext cx="1727200" cy="4071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907022C-F3B9-4898-B20B-1089D5970040}"/>
                </a:ext>
              </a:extLst>
            </xdr:cNvPr>
            <xdr:cNvSpPr txBox="1"/>
          </xdr:nvSpPr>
          <xdr:spPr>
            <a:xfrm>
              <a:off x="7185660" y="373380"/>
              <a:ext cx="1727200" cy="407170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𝐶𝑒𝑛𝑡𝑒𝑟</m:t>
                        </m:r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𝐴𝑉𝐺</m:t>
                        </m:r>
                      </m:sub>
                    </m:sSub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</m:s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</m:num>
                      <m:den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907022C-F3B9-4898-B20B-1089D5970040}"/>
                </a:ext>
              </a:extLst>
            </xdr:cNvPr>
            <xdr:cNvSpPr txBox="1"/>
          </xdr:nvSpPr>
          <xdr:spPr>
            <a:xfrm>
              <a:off x="7185660" y="373380"/>
              <a:ext cx="1727200" cy="407170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〖𝐶𝑒𝑛𝑡𝑒𝑟=𝐼〗_𝐴𝑉𝐺=(𝐼_𝑥+𝐼_𝑦)/2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13</xdr:col>
      <xdr:colOff>375920</xdr:colOff>
      <xdr:row>1</xdr:row>
      <xdr:rowOff>148379</xdr:rowOff>
    </xdr:from>
    <xdr:ext cx="1301318" cy="5499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B7DFB36-66E3-48D2-9E06-C0C714B686FB}"/>
                </a:ext>
              </a:extLst>
            </xdr:cNvPr>
            <xdr:cNvSpPr txBox="1"/>
          </xdr:nvSpPr>
          <xdr:spPr>
            <a:xfrm>
              <a:off x="9359900" y="331259"/>
              <a:ext cx="1301318" cy="549959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𝑡𝑎𝑛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2</m:t>
                    </m:r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𝑥𝑦</m:t>
                            </m:r>
                          </m:sub>
                        </m:sSub>
                      </m:num>
                      <m:den>
                        <m:d>
                          <m:d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𝐼</m:t>
                                    </m:r>
                                  </m:e>
                                  <m: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sub>
                                </m:sSub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𝐼</m:t>
                                    </m:r>
                                  </m:e>
                                  <m: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</m:e>
                        </m:d>
                      </m:den>
                    </m:f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B7DFB36-66E3-48D2-9E06-C0C714B686FB}"/>
                </a:ext>
              </a:extLst>
            </xdr:cNvPr>
            <xdr:cNvSpPr txBox="1"/>
          </xdr:nvSpPr>
          <xdr:spPr>
            <a:xfrm>
              <a:off x="9359900" y="331259"/>
              <a:ext cx="1301318" cy="549959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𝑡𝑎𝑛2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𝜃_</a:t>
              </a:r>
              <a:r>
                <a:rPr lang="en-US" sz="1200" b="0" i="0">
                  <a:latin typeface="Cambria Math" panose="02040503050406030204" pitchFamily="18" charset="0"/>
                </a:rPr>
                <a:t>𝑝=(−𝐼_𝑥𝑦)/(((𝐼_𝑥−𝐼_𝑦)/2) )</a:t>
              </a:r>
              <a:endParaRPr lang="en-US" sz="1200"/>
            </a:p>
          </xdr:txBody>
        </xdr:sp>
      </mc:Fallback>
    </mc:AlternateContent>
    <xdr:clientData/>
  </xdr:oneCellAnchor>
  <xdr:twoCellAnchor editAs="oneCell">
    <xdr:from>
      <xdr:col>9</xdr:col>
      <xdr:colOff>411480</xdr:colOff>
      <xdr:row>8</xdr:row>
      <xdr:rowOff>114300</xdr:rowOff>
    </xdr:from>
    <xdr:to>
      <xdr:col>20</xdr:col>
      <xdr:colOff>125730</xdr:colOff>
      <xdr:row>24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F8EFFF-E6F8-4CF4-A36F-BFFF584853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12"/>
        <a:stretch/>
      </xdr:blipFill>
      <xdr:spPr bwMode="auto">
        <a:xfrm>
          <a:off x="6957060" y="1600200"/>
          <a:ext cx="6419850" cy="2806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99060</xdr:colOff>
      <xdr:row>2</xdr:row>
      <xdr:rowOff>137160</xdr:rowOff>
    </xdr:from>
    <xdr:ext cx="2675432" cy="1860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E786BCC-92DB-4122-81C0-F069239D3577}"/>
                </a:ext>
              </a:extLst>
            </xdr:cNvPr>
            <xdr:cNvSpPr txBox="1"/>
          </xdr:nvSpPr>
          <xdr:spPr>
            <a:xfrm>
              <a:off x="4876800" y="502920"/>
              <a:ext cx="2675432" cy="18607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𝑐𝑜𝑠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sub>
                    </m:sSub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𝑠𝑖𝑛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𝜃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−2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𝑥𝑦</m:t>
                        </m:r>
                      </m:sub>
                    </m:sSub>
                    <m:func>
                      <m:func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sin</m:t>
                        </m:r>
                      </m:fName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𝜃</m:t>
                        </m:r>
                      </m:e>
                    </m:func>
                    <m:func>
                      <m:func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cos</m:t>
                        </m:r>
                      </m:fName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𝜃</m:t>
                        </m:r>
                      </m:e>
                    </m:fun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E786BCC-92DB-4122-81C0-F069239D3577}"/>
                </a:ext>
              </a:extLst>
            </xdr:cNvPr>
            <xdr:cNvSpPr txBox="1"/>
          </xdr:nvSpPr>
          <xdr:spPr>
            <a:xfrm>
              <a:off x="4876800" y="502920"/>
              <a:ext cx="2675432" cy="18607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𝐼_𝑢=𝐼_𝑥 〖𝑐𝑜𝑠〗^2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𝜃+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𝐼_𝑦 〖𝑠𝑖𝑛〗^2 𝜃−2𝐼_𝑥𝑦  sin⁡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𝜃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cos⁡𝜃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114300</xdr:colOff>
      <xdr:row>4</xdr:row>
      <xdr:rowOff>99060</xdr:rowOff>
    </xdr:from>
    <xdr:ext cx="2406074" cy="4325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4E975DD-464E-4389-B24C-6CEF55DDFE76}"/>
                </a:ext>
              </a:extLst>
            </xdr:cNvPr>
            <xdr:cNvSpPr txBox="1"/>
          </xdr:nvSpPr>
          <xdr:spPr>
            <a:xfrm>
              <a:off x="4892040" y="845820"/>
              <a:ext cx="2406074" cy="432570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𝑢𝑣</m:t>
                        </m:r>
                      </m:sub>
                    </m:sSub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</m:s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</m:num>
                      <m:den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𝑠𝑖𝑛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𝜃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𝑥𝑦</m:t>
                        </m:r>
                      </m:sub>
                    </m:sSub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𝑐𝑜𝑠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𝜃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4E975DD-464E-4389-B24C-6CEF55DDFE76}"/>
                </a:ext>
              </a:extLst>
            </xdr:cNvPr>
            <xdr:cNvSpPr txBox="1"/>
          </xdr:nvSpPr>
          <xdr:spPr>
            <a:xfrm>
              <a:off x="4892040" y="845820"/>
              <a:ext cx="2406074" cy="432570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𝐼_𝑢𝑣=(𝐼_𝑥−𝐼_𝑦)/2 𝑠𝑖𝑛2𝜃+𝐼_𝑥𝑦 𝑐𝑜𝑠2𝜃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11</xdr:col>
      <xdr:colOff>61805</xdr:colOff>
      <xdr:row>5</xdr:row>
      <xdr:rowOff>97155</xdr:rowOff>
    </xdr:from>
    <xdr:ext cx="1902509" cy="545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CD6CDC2-91E4-4C44-9F89-C00BE18C8692}"/>
                </a:ext>
              </a:extLst>
            </xdr:cNvPr>
            <xdr:cNvSpPr txBox="1"/>
          </xdr:nvSpPr>
          <xdr:spPr>
            <a:xfrm>
              <a:off x="7681805" y="1034415"/>
              <a:ext cx="1902509" cy="545662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𝑅𝑎𝑑𝑖𝑢𝑠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𝐼</m:t>
                                        </m:r>
                                      </m:e>
                                      <m:sub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sub>
                                    </m:s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sSub>
                                      <m:sSubPr>
                                        <m:ctrlP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𝐼</m:t>
                                        </m:r>
                                      </m:e>
                                      <m:sub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𝑦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𝑥𝑦</m:t>
                            </m:r>
                          </m:sub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CD6CDC2-91E4-4C44-9F89-C00BE18C8692}"/>
                </a:ext>
              </a:extLst>
            </xdr:cNvPr>
            <xdr:cNvSpPr txBox="1"/>
          </xdr:nvSpPr>
          <xdr:spPr>
            <a:xfrm>
              <a:off x="7681805" y="1034415"/>
              <a:ext cx="1902509" cy="545662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𝑅𝑎𝑑𝑖𝑢𝑠=√(((𝐼_𝑥−𝐼_𝑦)/2)^2+𝐼_𝑥𝑦^2 )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83820</xdr:colOff>
      <xdr:row>2</xdr:row>
      <xdr:rowOff>152400</xdr:rowOff>
    </xdr:from>
    <xdr:ext cx="1727200" cy="4071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4A4670A-B232-45E4-AB8F-50C410E6B48B}"/>
                </a:ext>
              </a:extLst>
            </xdr:cNvPr>
            <xdr:cNvSpPr txBox="1"/>
          </xdr:nvSpPr>
          <xdr:spPr>
            <a:xfrm>
              <a:off x="7703820" y="518160"/>
              <a:ext cx="1727200" cy="407170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𝐶𝑒𝑛𝑡𝑒𝑟</m:t>
                        </m:r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𝐴𝑉𝐺</m:t>
                        </m:r>
                      </m:sub>
                    </m:sSub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</m:s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</m:num>
                      <m:den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4A4670A-B232-45E4-AB8F-50C410E6B48B}"/>
                </a:ext>
              </a:extLst>
            </xdr:cNvPr>
            <xdr:cNvSpPr txBox="1"/>
          </xdr:nvSpPr>
          <xdr:spPr>
            <a:xfrm>
              <a:off x="7703820" y="518160"/>
              <a:ext cx="1727200" cy="407170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〖𝐶𝑒𝑛𝑡𝑒𝑟=𝐼〗_𝐴𝑉𝐺=(𝐼_𝑥+𝐼_𝑦)/2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14</xdr:col>
      <xdr:colOff>307340</xdr:colOff>
      <xdr:row>3</xdr:row>
      <xdr:rowOff>72179</xdr:rowOff>
    </xdr:from>
    <xdr:ext cx="1301318" cy="5499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B4E7E54-90B1-42B4-B960-58A199E9E67A}"/>
                </a:ext>
              </a:extLst>
            </xdr:cNvPr>
            <xdr:cNvSpPr txBox="1"/>
          </xdr:nvSpPr>
          <xdr:spPr>
            <a:xfrm>
              <a:off x="9756140" y="636059"/>
              <a:ext cx="1301318" cy="549959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𝑡𝑎𝑛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2</m:t>
                    </m:r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𝑥𝑦</m:t>
                            </m:r>
                          </m:sub>
                        </m:sSub>
                      </m:num>
                      <m:den>
                        <m:d>
                          <m:d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𝐼</m:t>
                                    </m:r>
                                  </m:e>
                                  <m: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sub>
                                </m:sSub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𝐼</m:t>
                                    </m:r>
                                  </m:e>
                                  <m: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</m:e>
                        </m:d>
                      </m:den>
                    </m:f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B4E7E54-90B1-42B4-B960-58A199E9E67A}"/>
                </a:ext>
              </a:extLst>
            </xdr:cNvPr>
            <xdr:cNvSpPr txBox="1"/>
          </xdr:nvSpPr>
          <xdr:spPr>
            <a:xfrm>
              <a:off x="9756140" y="636059"/>
              <a:ext cx="1301318" cy="549959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𝑡𝑎𝑛2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𝜃_</a:t>
              </a:r>
              <a:r>
                <a:rPr lang="en-US" sz="1200" b="0" i="0">
                  <a:latin typeface="Cambria Math" panose="02040503050406030204" pitchFamily="18" charset="0"/>
                </a:rPr>
                <a:t>𝑝=(−𝐼_𝑥𝑦)/(((𝐼_𝑥−𝐼_𝑦)/2) )</a:t>
              </a:r>
              <a:endParaRPr lang="en-US" sz="1200"/>
            </a:p>
          </xdr:txBody>
        </xdr:sp>
      </mc:Fallback>
    </mc:AlternateContent>
    <xdr:clientData/>
  </xdr:oneCellAnchor>
  <xdr:twoCellAnchor editAs="oneCell">
    <xdr:from>
      <xdr:col>9</xdr:col>
      <xdr:colOff>381000</xdr:colOff>
      <xdr:row>10</xdr:row>
      <xdr:rowOff>30480</xdr:rowOff>
    </xdr:from>
    <xdr:to>
      <xdr:col>20</xdr:col>
      <xdr:colOff>95250</xdr:colOff>
      <xdr:row>25</xdr:row>
      <xdr:rowOff>108585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BF803C-E954-46CE-A33F-2465B37039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12"/>
        <a:stretch/>
      </xdr:blipFill>
      <xdr:spPr bwMode="auto">
        <a:xfrm>
          <a:off x="6781800" y="1897380"/>
          <a:ext cx="6419850" cy="2806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CF43-B582-4D4C-A4AA-38F7CA635DF6}">
  <dimension ref="B3:I29"/>
  <sheetViews>
    <sheetView tabSelected="1" topLeftCell="A4" workbookViewId="0">
      <selection activeCell="K26" sqref="K26"/>
    </sheetView>
  </sheetViews>
  <sheetFormatPr defaultRowHeight="15"/>
  <cols>
    <col min="1" max="1" width="3.7109375" customWidth="1"/>
    <col min="2" max="2" width="13.42578125" customWidth="1"/>
    <col min="4" max="4" width="15.140625" customWidth="1"/>
    <col min="6" max="6" width="12.140625" customWidth="1"/>
    <col min="7" max="7" width="10.5703125" customWidth="1"/>
    <col min="8" max="8" width="13.85546875" style="21" customWidth="1"/>
  </cols>
  <sheetData>
    <row r="3" spans="2:9">
      <c r="B3" s="1" t="s">
        <v>0</v>
      </c>
      <c r="C3" s="2"/>
      <c r="D3" s="2"/>
    </row>
    <row r="4" spans="2:9">
      <c r="B4" s="2"/>
      <c r="C4" s="2"/>
      <c r="D4" s="2"/>
    </row>
    <row r="5" spans="2:9" ht="17.25">
      <c r="B5" s="8" t="s">
        <v>1</v>
      </c>
      <c r="C5" s="3" t="s">
        <v>2</v>
      </c>
      <c r="D5" s="28">
        <v>2900000000</v>
      </c>
      <c r="E5" s="7" t="s">
        <v>19</v>
      </c>
    </row>
    <row r="6" spans="2:9" ht="17.25">
      <c r="B6" s="9"/>
      <c r="C6" s="3" t="s">
        <v>3</v>
      </c>
      <c r="D6" s="28">
        <v>5600000000</v>
      </c>
      <c r="E6" s="7" t="s">
        <v>19</v>
      </c>
    </row>
    <row r="7" spans="2:9" ht="17.25">
      <c r="B7" s="9"/>
      <c r="C7" s="3" t="s">
        <v>4</v>
      </c>
      <c r="D7" s="28">
        <v>-3000000000</v>
      </c>
      <c r="E7" s="7" t="s">
        <v>19</v>
      </c>
    </row>
    <row r="8" spans="2:9">
      <c r="B8" s="10"/>
    </row>
    <row r="9" spans="2:9">
      <c r="B9" s="10"/>
    </row>
    <row r="10" spans="2:9">
      <c r="B10" s="5" t="s">
        <v>13</v>
      </c>
      <c r="C10" s="18"/>
      <c r="D10" s="18"/>
      <c r="E10" s="18"/>
      <c r="F10" s="18"/>
      <c r="G10" s="18"/>
      <c r="H10" s="22"/>
      <c r="I10" s="18"/>
    </row>
    <row r="11" spans="2:9" ht="16.5">
      <c r="C11" s="11" t="s">
        <v>6</v>
      </c>
      <c r="D11" s="15">
        <v>30</v>
      </c>
      <c r="F11" s="12" t="s">
        <v>10</v>
      </c>
      <c r="H11" s="26">
        <f>D5*COS(RADIANS(D11))^2+D6*SIN(RADIANS(D11))^2-2*D7*SIN(RADIANS(D11))*COS(RADIANS(D11))</f>
        <v>6173076211.3533154</v>
      </c>
      <c r="I11" s="7" t="s">
        <v>19</v>
      </c>
    </row>
    <row r="12" spans="2:9" ht="16.5">
      <c r="C12" s="16" t="s">
        <v>9</v>
      </c>
      <c r="D12" s="17">
        <f>D11+90</f>
        <v>120</v>
      </c>
      <c r="F12" s="12" t="s">
        <v>11</v>
      </c>
      <c r="H12" s="27">
        <f>D5*COS(RADIANS(D12))^2+D6*SIN(RADIANS(D12))^2-2*D7*SIN(RADIANS(D12))*COS(RADIANS(D12))</f>
        <v>2326923788.6466846</v>
      </c>
      <c r="I12" s="7" t="s">
        <v>19</v>
      </c>
    </row>
    <row r="13" spans="2:9">
      <c r="C13" s="16"/>
      <c r="D13" s="17"/>
      <c r="F13" s="13" t="s">
        <v>12</v>
      </c>
      <c r="H13" s="26">
        <f>((D5-D6)/2)*SIN(2*RADIANS(D11))+D7*COS(2*RADIANS(D11))</f>
        <v>-2669134295.1089926</v>
      </c>
      <c r="I13" s="7" t="s">
        <v>19</v>
      </c>
    </row>
    <row r="14" spans="2:9">
      <c r="H14" s="23"/>
    </row>
    <row r="15" spans="2:9">
      <c r="B15" s="5" t="s">
        <v>8</v>
      </c>
      <c r="C15" s="18"/>
      <c r="D15" s="18"/>
      <c r="E15" s="18"/>
      <c r="F15" s="18"/>
      <c r="G15" s="18"/>
      <c r="H15" s="6"/>
      <c r="I15" s="18"/>
    </row>
    <row r="16" spans="2:9" ht="4.1500000000000004" customHeight="1">
      <c r="H16" s="23"/>
    </row>
    <row r="17" spans="2:9" ht="16.5">
      <c r="C17" s="11" t="s">
        <v>6</v>
      </c>
      <c r="D17" s="15">
        <v>18.434948822974693</v>
      </c>
      <c r="F17" s="12" t="s">
        <v>7</v>
      </c>
      <c r="H17" s="26">
        <f>D5*COS(RADIANS(D17))^2+D6*SIN(RADIANS(D17))^2-2*D7*SIN(RADIANS(D17))*COS(RADIANS(D17))</f>
        <v>4970000000.0059032</v>
      </c>
      <c r="I17" s="7" t="s">
        <v>19</v>
      </c>
    </row>
    <row r="18" spans="2:9" ht="16.5">
      <c r="C18" s="16" t="s">
        <v>9</v>
      </c>
      <c r="D18" s="17">
        <f>D17+90</f>
        <v>108.43494882297469</v>
      </c>
      <c r="F18" s="12" t="s">
        <v>11</v>
      </c>
      <c r="H18" s="27">
        <f>D5*COS(RADIANS(D18))^2+D6*SIN(RADIANS(D18))^2-2*D7*SIN(RADIANS(D18))*COS(RADIANS(D18))</f>
        <v>3529999999.9940977</v>
      </c>
      <c r="I18" s="7" t="s">
        <v>19</v>
      </c>
    </row>
    <row r="19" spans="2:9">
      <c r="F19" s="13" t="s">
        <v>12</v>
      </c>
      <c r="H19" s="26">
        <f>((D5-D6)/2)*SIN(2*RADIANS(D17))+D7*COS(2*RADIANS(D17))</f>
        <v>-3209999999.9986758</v>
      </c>
      <c r="I19" s="7" t="s">
        <v>19</v>
      </c>
    </row>
    <row r="20" spans="2:9">
      <c r="H20" s="24"/>
    </row>
    <row r="21" spans="2:9">
      <c r="H21" s="24"/>
    </row>
    <row r="22" spans="2:9">
      <c r="B22" s="5" t="s">
        <v>14</v>
      </c>
      <c r="C22" s="18"/>
      <c r="D22" s="18"/>
      <c r="E22" s="18"/>
      <c r="F22" s="18"/>
      <c r="G22" s="18"/>
      <c r="H22" s="25"/>
      <c r="I22" s="18"/>
    </row>
    <row r="23" spans="2:9">
      <c r="F23" s="19" t="s">
        <v>15</v>
      </c>
      <c r="H23" s="27">
        <f>(D5+D6)/2</f>
        <v>4250000000</v>
      </c>
      <c r="I23" s="7" t="s">
        <v>19</v>
      </c>
    </row>
    <row r="24" spans="2:9">
      <c r="F24" s="19" t="s">
        <v>23</v>
      </c>
      <c r="H24" s="27">
        <f>(D5-D6)/2</f>
        <v>-1350000000</v>
      </c>
      <c r="I24" s="7" t="s">
        <v>19</v>
      </c>
    </row>
    <row r="25" spans="2:9">
      <c r="C25" s="16"/>
      <c r="D25" s="17"/>
      <c r="F25" s="19" t="s">
        <v>16</v>
      </c>
      <c r="H25" s="27">
        <f>SQRT((H24^2+D7^2))</f>
        <v>3289756829.9191961</v>
      </c>
      <c r="I25" s="7" t="s">
        <v>19</v>
      </c>
    </row>
    <row r="26" spans="2:9">
      <c r="F26" s="19" t="s">
        <v>17</v>
      </c>
      <c r="H26" s="27">
        <f>H25+H23</f>
        <v>7539756829.9191961</v>
      </c>
      <c r="I26" s="7" t="s">
        <v>19</v>
      </c>
    </row>
    <row r="27" spans="2:9">
      <c r="F27" s="19" t="s">
        <v>21</v>
      </c>
      <c r="H27" s="27">
        <f>H23-H25</f>
        <v>960243170.08080387</v>
      </c>
      <c r="I27" s="7" t="s">
        <v>20</v>
      </c>
    </row>
    <row r="28" spans="2:9">
      <c r="F28" s="20" t="s">
        <v>18</v>
      </c>
      <c r="H28" s="29">
        <f>0.5*DEGREES(ATAN(-D7/(H24)))</f>
        <v>-32.886127341022913</v>
      </c>
      <c r="I28" s="7" t="s">
        <v>19</v>
      </c>
    </row>
    <row r="29" spans="2:9" ht="17.25">
      <c r="F29" s="12" t="s">
        <v>22</v>
      </c>
      <c r="H29" s="32">
        <f>D5*COS(RADIANS(H28))^2+D6*SIN(RADIANS(H28))^2-2*D7*SIN(RADIANS(H28))*COS(RADIANS(H28))</f>
        <v>960243170.08080339</v>
      </c>
    </row>
  </sheetData>
  <phoneticPr fontId="15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59CD8-D28A-4BE1-B25D-90EA81035109}">
  <dimension ref="B3:I29"/>
  <sheetViews>
    <sheetView zoomScale="80" zoomScaleNormal="80" workbookViewId="0">
      <selection activeCell="L30" sqref="L30"/>
    </sheetView>
  </sheetViews>
  <sheetFormatPr defaultRowHeight="15"/>
  <cols>
    <col min="1" max="1" width="3.7109375" customWidth="1"/>
    <col min="2" max="2" width="13.42578125" customWidth="1"/>
    <col min="4" max="4" width="12.140625" customWidth="1"/>
    <col min="6" max="6" width="12.140625" customWidth="1"/>
    <col min="7" max="7" width="10.5703125" customWidth="1"/>
    <col min="8" max="8" width="14.7109375" customWidth="1"/>
  </cols>
  <sheetData>
    <row r="3" spans="2:9" ht="15.75">
      <c r="B3" s="30" t="s">
        <v>0</v>
      </c>
      <c r="C3" s="2"/>
      <c r="D3" s="2"/>
    </row>
    <row r="4" spans="2:9">
      <c r="B4" s="2"/>
      <c r="C4" s="2"/>
      <c r="D4" s="2"/>
    </row>
    <row r="5" spans="2:9" ht="17.25">
      <c r="B5" s="8" t="s">
        <v>1</v>
      </c>
      <c r="C5" s="3" t="s">
        <v>2</v>
      </c>
      <c r="D5" s="4">
        <v>15.7</v>
      </c>
      <c r="E5" s="7" t="s">
        <v>5</v>
      </c>
    </row>
    <row r="6" spans="2:9" ht="17.25">
      <c r="B6" s="9"/>
      <c r="C6" s="3" t="s">
        <v>3</v>
      </c>
      <c r="D6" s="4">
        <v>1.04</v>
      </c>
      <c r="E6" s="7" t="s">
        <v>5</v>
      </c>
    </row>
    <row r="7" spans="2:9" ht="17.25">
      <c r="B7" s="9"/>
      <c r="C7" s="3" t="s">
        <v>4</v>
      </c>
      <c r="D7" s="4">
        <v>2.68</v>
      </c>
      <c r="E7" s="7" t="s">
        <v>5</v>
      </c>
    </row>
    <row r="8" spans="2:9">
      <c r="B8" s="10"/>
    </row>
    <row r="9" spans="2:9">
      <c r="B9" s="10"/>
    </row>
    <row r="10" spans="2:9">
      <c r="B10" s="5" t="s">
        <v>13</v>
      </c>
      <c r="C10" s="18"/>
      <c r="D10" s="18"/>
      <c r="E10" s="18"/>
      <c r="F10" s="18"/>
      <c r="G10" s="18"/>
      <c r="H10" s="18"/>
      <c r="I10" s="18"/>
    </row>
    <row r="11" spans="2:9" ht="16.5">
      <c r="C11" s="11" t="s">
        <v>6</v>
      </c>
      <c r="D11" s="15">
        <v>20</v>
      </c>
      <c r="F11" s="12" t="s">
        <v>10</v>
      </c>
      <c r="H11" s="14">
        <f>D5*COS(RADIANS(D11))^2+D6*SIN(RADIANS(D11))^2-2*D7*SIN(RADIANS(D11))*COS(RADIANS(D11))</f>
        <v>12.262434974102185</v>
      </c>
      <c r="I11" s="7" t="s">
        <v>5</v>
      </c>
    </row>
    <row r="12" spans="2:9" ht="16.5">
      <c r="C12" s="16" t="s">
        <v>9</v>
      </c>
      <c r="D12" s="17">
        <f>D11+90</f>
        <v>110</v>
      </c>
      <c r="F12" s="12" t="s">
        <v>11</v>
      </c>
      <c r="H12" s="14">
        <f>D5*COS(RADIANS(D12))^2+D6*SIN(RADIANS(D12))^2-2*D7*SIN(RADIANS(D12))*COS(RADIANS(D12))</f>
        <v>4.4775650258978166</v>
      </c>
      <c r="I12" s="7" t="s">
        <v>5</v>
      </c>
    </row>
    <row r="13" spans="2:9">
      <c r="C13" s="16"/>
      <c r="D13" s="17"/>
      <c r="F13" s="13" t="s">
        <v>12</v>
      </c>
      <c r="H13" s="14">
        <f>((D5-D6)/2)*SIN(2*RADIANS(D11))+D7*COS(2*RADIANS(D11))</f>
        <v>6.7646322865611941</v>
      </c>
      <c r="I13" s="7" t="s">
        <v>5</v>
      </c>
    </row>
    <row r="15" spans="2:9">
      <c r="B15" s="5" t="s">
        <v>8</v>
      </c>
      <c r="C15" s="18"/>
      <c r="D15" s="18"/>
      <c r="E15" s="18"/>
      <c r="F15" s="18"/>
      <c r="G15" s="18"/>
      <c r="H15" s="18"/>
      <c r="I15" s="18"/>
    </row>
    <row r="16" spans="2:9" ht="4.1500000000000004" customHeight="1"/>
    <row r="17" spans="2:9" ht="16.5">
      <c r="C17" s="11" t="s">
        <v>6</v>
      </c>
      <c r="D17" s="15">
        <v>79.956289349606422</v>
      </c>
      <c r="F17" s="12" t="s">
        <v>7</v>
      </c>
      <c r="H17" s="14">
        <f>D5*COS(RADIANS(D17))^2+D6*SIN(RADIANS(D17))^2-2*D7*SIN(RADIANS(D17))*COS(RADIANS(D17))</f>
        <v>0.56543084412196698</v>
      </c>
      <c r="I17" s="7" t="s">
        <v>5</v>
      </c>
    </row>
    <row r="18" spans="2:9" ht="16.5">
      <c r="C18" s="16" t="s">
        <v>9</v>
      </c>
      <c r="D18" s="17">
        <f>D17+90</f>
        <v>169.95628934960644</v>
      </c>
      <c r="F18" s="12" t="s">
        <v>11</v>
      </c>
      <c r="H18" s="14">
        <f>D5*COS(RADIANS(D18))^2+D6*SIN(RADIANS(D18))^2-2*D7*SIN(RADIANS(D18))*COS(RADIANS(D18))</f>
        <v>16.174569155878032</v>
      </c>
      <c r="I18" s="7" t="s">
        <v>5</v>
      </c>
    </row>
    <row r="19" spans="2:9">
      <c r="F19" s="13" t="s">
        <v>12</v>
      </c>
      <c r="H19" s="14">
        <f>((D5-D6)/2)*SIN(2*RADIANS(D17))+D7*COS(2*RADIANS(D17))</f>
        <v>5.395528226421753E-4</v>
      </c>
      <c r="I19" s="7" t="s">
        <v>5</v>
      </c>
    </row>
    <row r="22" spans="2:9">
      <c r="B22" s="5" t="s">
        <v>14</v>
      </c>
      <c r="C22" s="18"/>
      <c r="D22" s="18"/>
      <c r="E22" s="18"/>
      <c r="F22" s="18"/>
      <c r="G22" s="18"/>
      <c r="H22" s="18"/>
      <c r="I22" s="18"/>
    </row>
    <row r="23" spans="2:9">
      <c r="C23" s="11"/>
      <c r="D23" s="11"/>
      <c r="E23" s="11"/>
      <c r="F23" s="19" t="s">
        <v>15</v>
      </c>
      <c r="H23" s="14">
        <f>(D5+D6)/2</f>
        <v>8.3699999999999992</v>
      </c>
      <c r="I23" s="7" t="s">
        <v>5</v>
      </c>
    </row>
    <row r="24" spans="2:9">
      <c r="C24" s="16"/>
      <c r="D24" s="17"/>
      <c r="F24" s="19" t="s">
        <v>23</v>
      </c>
      <c r="H24" s="14">
        <f>(D5-D6)/2</f>
        <v>7.33</v>
      </c>
      <c r="I24" s="7" t="s">
        <v>5</v>
      </c>
    </row>
    <row r="25" spans="2:9">
      <c r="C25" s="16"/>
      <c r="D25" s="17"/>
      <c r="F25" s="19" t="s">
        <v>16</v>
      </c>
      <c r="H25" s="14">
        <f>SQRT((H24^2+D7^2))</f>
        <v>7.8045691745284698</v>
      </c>
      <c r="I25" s="7" t="s">
        <v>5</v>
      </c>
    </row>
    <row r="26" spans="2:9">
      <c r="F26" s="19" t="s">
        <v>17</v>
      </c>
      <c r="H26" s="14">
        <f>H25+H23</f>
        <v>16.174569174528468</v>
      </c>
      <c r="I26" s="7" t="s">
        <v>5</v>
      </c>
    </row>
    <row r="27" spans="2:9">
      <c r="F27" s="19" t="s">
        <v>21</v>
      </c>
      <c r="H27" s="14">
        <f>H23-H25</f>
        <v>0.56543082547152945</v>
      </c>
      <c r="I27" s="7" t="s">
        <v>5</v>
      </c>
    </row>
    <row r="28" spans="2:9">
      <c r="F28" s="20" t="s">
        <v>18</v>
      </c>
      <c r="H28" s="31">
        <f>0.5*DEGREES(ATAN(-D7/(H24)))</f>
        <v>-10.041730137510989</v>
      </c>
      <c r="I28" s="7" t="s">
        <v>20</v>
      </c>
    </row>
    <row r="29" spans="2:9" ht="17.25">
      <c r="F29" s="12" t="s">
        <v>22</v>
      </c>
      <c r="H29" s="14">
        <f>D5*COS(RADIANS(H28))^2+D6*SIN(RADIANS(H28))^2-2*D7*SIN(RADIANS(H28))*COS(RADIANS(H28))</f>
        <v>16.174569174528468</v>
      </c>
      <c r="I29" s="7" t="s">
        <v>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Units mm</vt:lpstr>
      <vt:lpstr>Units Inches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 Jr, Ralph E.</dc:creator>
  <cp:lastModifiedBy>Flori Jr, Ralph</cp:lastModifiedBy>
  <dcterms:created xsi:type="dcterms:W3CDTF">2022-11-30T03:26:25Z</dcterms:created>
  <dcterms:modified xsi:type="dcterms:W3CDTF">2026-05-01T16:22:33Z</dcterms:modified>
</cp:coreProperties>
</file>